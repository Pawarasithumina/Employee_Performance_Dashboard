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D:\Users\Admin\Desktop\datasets\"/>
    </mc:Choice>
  </mc:AlternateContent>
  <xr:revisionPtr revIDLastSave="0" documentId="13_ncr:1_{F566161E-0C90-414F-B5B0-DA66100E4023}" xr6:coauthVersionLast="36" xr6:coauthVersionMax="36" xr10:uidLastSave="{00000000-0000-0000-0000-000000000000}"/>
  <bookViews>
    <workbookView xWindow="0" yWindow="0" windowWidth="14380" windowHeight="4520" activeTab="3" xr2:uid="{00000000-000D-0000-FFFF-FFFF00000000}"/>
  </bookViews>
  <sheets>
    <sheet name="Employe_Performance_dataset" sheetId="1" r:id="rId1"/>
    <sheet name="Working Sheet" sheetId="2" r:id="rId2"/>
    <sheet name="Pivot Tables" sheetId="3" r:id="rId3"/>
    <sheet name="Dashboard" sheetId="4" r:id="rId4"/>
  </sheets>
  <definedNames>
    <definedName name="_xlnm._FilterDatabase" localSheetId="0" hidden="1">Employe_Performance_dataset!$A$1:$L$1001</definedName>
    <definedName name="_xlnm._FilterDatabase" localSheetId="1" hidden="1">'Working Sheet'!$A$1:$O$346</definedName>
    <definedName name="NativeTimeline_Joining_Date1">#N/A</definedName>
    <definedName name="Slicer_Gender">#N/A</definedName>
    <definedName name="Slicer_Location">#N/A</definedName>
    <definedName name="Slicer_Performance_Score">#N/A</definedName>
    <definedName name="Slicer_Sess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L2" i="2" l="1"/>
  <c r="H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alcChain>
</file>

<file path=xl/sharedStrings.xml><?xml version="1.0" encoding="utf-8"?>
<sst xmlns="http://schemas.openxmlformats.org/spreadsheetml/2006/main" count="8138" uniqueCount="1041">
  <si>
    <t>ID</t>
  </si>
  <si>
    <t>Name</t>
  </si>
  <si>
    <t>Age</t>
  </si>
  <si>
    <t>Gender</t>
  </si>
  <si>
    <t>Department</t>
  </si>
  <si>
    <t>Salary</t>
  </si>
  <si>
    <t>Joining Date</t>
  </si>
  <si>
    <t>Performance Score</t>
  </si>
  <si>
    <t>Experience</t>
  </si>
  <si>
    <t>Status</t>
  </si>
  <si>
    <t>Location</t>
  </si>
  <si>
    <t>Session</t>
  </si>
  <si>
    <t>Cory Escobar</t>
  </si>
  <si>
    <t>Female</t>
  </si>
  <si>
    <t>HR</t>
  </si>
  <si>
    <t>Active</t>
  </si>
  <si>
    <t>New York</t>
  </si>
  <si>
    <t>Night</t>
  </si>
  <si>
    <t>Timothy Sanchez</t>
  </si>
  <si>
    <t>Other</t>
  </si>
  <si>
    <t>Sales</t>
  </si>
  <si>
    <t>Inactive</t>
  </si>
  <si>
    <t>Los Angeles</t>
  </si>
  <si>
    <t>Evening</t>
  </si>
  <si>
    <t>Chad Nichols</t>
  </si>
  <si>
    <t>Morning</t>
  </si>
  <si>
    <t>Christine Williams</t>
  </si>
  <si>
    <t>IT</t>
  </si>
  <si>
    <t>Amber Harris</t>
  </si>
  <si>
    <t>Ashley Howe</t>
  </si>
  <si>
    <t>Chicago</t>
  </si>
  <si>
    <t>David Olson</t>
  </si>
  <si>
    <t>Amanda Baker</t>
  </si>
  <si>
    <t>Jeremy Wright</t>
  </si>
  <si>
    <t>Brian Faulkner</t>
  </si>
  <si>
    <t>Male</t>
  </si>
  <si>
    <t>Nicole Bell</t>
  </si>
  <si>
    <t>Rodney Richardson</t>
  </si>
  <si>
    <t>Joshua Robinson</t>
  </si>
  <si>
    <t>Benjamin Callahan</t>
  </si>
  <si>
    <t>Matthew Collins MD</t>
  </si>
  <si>
    <t>Gary Cooley</t>
  </si>
  <si>
    <t>Jonathan Perez</t>
  </si>
  <si>
    <t>Jacqueline Randall</t>
  </si>
  <si>
    <t>Nancy Stephens</t>
  </si>
  <si>
    <t>Victoria Fox</t>
  </si>
  <si>
    <t>Heather Jones</t>
  </si>
  <si>
    <t>Stacie Porter</t>
  </si>
  <si>
    <t>Bryce Carter</t>
  </si>
  <si>
    <t>Marissa Stewart</t>
  </si>
  <si>
    <t>Tracy Carlson</t>
  </si>
  <si>
    <t>Tara Blackwell</t>
  </si>
  <si>
    <t>Austin Long</t>
  </si>
  <si>
    <t>Jordan Warren</t>
  </si>
  <si>
    <t>Vickie Campbell</t>
  </si>
  <si>
    <t>Rachel Ramsey</t>
  </si>
  <si>
    <t>Brandi Smith</t>
  </si>
  <si>
    <t>Jacqueline Becker</t>
  </si>
  <si>
    <t>Trevor Duncan</t>
  </si>
  <si>
    <t>Mr. Brian Nelson</t>
  </si>
  <si>
    <t>Lisa Fry</t>
  </si>
  <si>
    <t>Kevin Watts</t>
  </si>
  <si>
    <t>Jacqueline Moore</t>
  </si>
  <si>
    <t>Lawrence Rose</t>
  </si>
  <si>
    <t>Jordan Scott</t>
  </si>
  <si>
    <t>Lisa Wagner</t>
  </si>
  <si>
    <t>Ricky Keith</t>
  </si>
  <si>
    <t>Charles Mccall</t>
  </si>
  <si>
    <t>April Ponce</t>
  </si>
  <si>
    <t>Cindy Nichols</t>
  </si>
  <si>
    <t>Daniel Aguirre</t>
  </si>
  <si>
    <t>Dr. Monica Hanna PhD</t>
  </si>
  <si>
    <t>Alicia Scott</t>
  </si>
  <si>
    <t>Jake Johnson</t>
  </si>
  <si>
    <t>Jamie Wood</t>
  </si>
  <si>
    <t>Valerie Guerrero</t>
  </si>
  <si>
    <t>Jamie Gregory</t>
  </si>
  <si>
    <t>Jesse Vincent</t>
  </si>
  <si>
    <t>Steve Salinas</t>
  </si>
  <si>
    <t>Taylor Griffin</t>
  </si>
  <si>
    <t>Kim Smith</t>
  </si>
  <si>
    <t>Jonathon Adams</t>
  </si>
  <si>
    <t>Jeremy Conway</t>
  </si>
  <si>
    <t>Johnathan Obrien</t>
  </si>
  <si>
    <t>Erik Moss</t>
  </si>
  <si>
    <t>Melinda Tyler</t>
  </si>
  <si>
    <t>Andrew Shannon</t>
  </si>
  <si>
    <t>Carmen Taylor</t>
  </si>
  <si>
    <t>Joseph Anderson</t>
  </si>
  <si>
    <t>Katherine Clark</t>
  </si>
  <si>
    <t>Mary Miller</t>
  </si>
  <si>
    <t>Sarah Harrell</t>
  </si>
  <si>
    <t>Kelli Lopez</t>
  </si>
  <si>
    <t>Denise Smith</t>
  </si>
  <si>
    <t>Alyssa Taylor</t>
  </si>
  <si>
    <t>Erica James</t>
  </si>
  <si>
    <t>Daniel Hamilton</t>
  </si>
  <si>
    <t>Tiffany Alexander</t>
  </si>
  <si>
    <t>Jennifer Carter</t>
  </si>
  <si>
    <t>Amanda Rodgers</t>
  </si>
  <si>
    <t>Francisco Jones</t>
  </si>
  <si>
    <t>Cameron Butler</t>
  </si>
  <si>
    <t>Victor Nelson</t>
  </si>
  <si>
    <t>Kathy Thompson</t>
  </si>
  <si>
    <t>Michele Schmidt</t>
  </si>
  <si>
    <t>Mary Singh</t>
  </si>
  <si>
    <t>Julia Stanley</t>
  </si>
  <si>
    <t>Kevin Price</t>
  </si>
  <si>
    <t>Jamie Wright</t>
  </si>
  <si>
    <t>Elaine Payne</t>
  </si>
  <si>
    <t>Justin Rodriguez</t>
  </si>
  <si>
    <t>Chase Taylor</t>
  </si>
  <si>
    <t>Dustin Allen</t>
  </si>
  <si>
    <t>Lori Bowen</t>
  </si>
  <si>
    <t>Jessica Sanders</t>
  </si>
  <si>
    <t>Lauren Lee</t>
  </si>
  <si>
    <t>Kyle Schwartz</t>
  </si>
  <si>
    <t>Bruce Campbell</t>
  </si>
  <si>
    <t>Peter Moore</t>
  </si>
  <si>
    <t>Elizabeth Gallagher</t>
  </si>
  <si>
    <t>Michael Garcia</t>
  </si>
  <si>
    <t>Jeff Wilson</t>
  </si>
  <si>
    <t>Holly Gaines</t>
  </si>
  <si>
    <t>Matthew Fields</t>
  </si>
  <si>
    <t>Kathleen Thomas</t>
  </si>
  <si>
    <t>Thomas Hamilton</t>
  </si>
  <si>
    <t>Bryan Navarro</t>
  </si>
  <si>
    <t>Jennifer Hansen</t>
  </si>
  <si>
    <t>James Saunders</t>
  </si>
  <si>
    <t>Jose Henson</t>
  </si>
  <si>
    <t>Isaiah Sanders DDS</t>
  </si>
  <si>
    <t>Katelyn Chavez</t>
  </si>
  <si>
    <t>Nancy Robinson</t>
  </si>
  <si>
    <t>Sandra Allen</t>
  </si>
  <si>
    <t>Mrs. Robin Mccarthy PhD</t>
  </si>
  <si>
    <t>Catherine Ray</t>
  </si>
  <si>
    <t>James Johnson</t>
  </si>
  <si>
    <t>Sarah Barrera</t>
  </si>
  <si>
    <t>Luke Mcpherson</t>
  </si>
  <si>
    <t>Michael Moore</t>
  </si>
  <si>
    <t>Donna Manning</t>
  </si>
  <si>
    <t>John Lloyd</t>
  </si>
  <si>
    <t>Sean Owens</t>
  </si>
  <si>
    <t>Gregory Robinson</t>
  </si>
  <si>
    <t>Tara Hudson</t>
  </si>
  <si>
    <t>Heidi Franklin</t>
  </si>
  <si>
    <t>David Hampton</t>
  </si>
  <si>
    <t>Jacob Gonzalez</t>
  </si>
  <si>
    <t>Kenneth Jensen</t>
  </si>
  <si>
    <t>Amber Pittman</t>
  </si>
  <si>
    <t>William Hall</t>
  </si>
  <si>
    <t>Michael Wilson</t>
  </si>
  <si>
    <t>Vanessa Gray</t>
  </si>
  <si>
    <t>Ashley Williams</t>
  </si>
  <si>
    <t>Shawn Marshall</t>
  </si>
  <si>
    <t>Derrick Woods</t>
  </si>
  <si>
    <t>Lisa Levy</t>
  </si>
  <si>
    <t>Amy Patel</t>
  </si>
  <si>
    <t>Gregory Villegas</t>
  </si>
  <si>
    <t>Arthur Tyler</t>
  </si>
  <si>
    <t>Jonathan Schneider</t>
  </si>
  <si>
    <t>Donna Fox</t>
  </si>
  <si>
    <t>Rebecca Pitts</t>
  </si>
  <si>
    <t>Annette Peterson</t>
  </si>
  <si>
    <t>Mr. James Moore</t>
  </si>
  <si>
    <t>William Hernandez</t>
  </si>
  <si>
    <t>Kevin Ruiz</t>
  </si>
  <si>
    <t>Matthew Gutierrez</t>
  </si>
  <si>
    <t>Kelly Phillips</t>
  </si>
  <si>
    <t>Dana Potter</t>
  </si>
  <si>
    <t>Kimberly Murphy</t>
  </si>
  <si>
    <t>Jessica Hernandez</t>
  </si>
  <si>
    <t>Rachel Allen</t>
  </si>
  <si>
    <t>Mr. Brandon Gonzales</t>
  </si>
  <si>
    <t>Matthew Perkins</t>
  </si>
  <si>
    <t>Robert Adkins</t>
  </si>
  <si>
    <t>Anthony Moran</t>
  </si>
  <si>
    <t>Julie Wilson</t>
  </si>
  <si>
    <t>Mark Morris</t>
  </si>
  <si>
    <t>Charles Marsh</t>
  </si>
  <si>
    <t>Larry Johnson</t>
  </si>
  <si>
    <t>Raymond Johnson</t>
  </si>
  <si>
    <t>Pamela Pierce</t>
  </si>
  <si>
    <t>Debra Smith</t>
  </si>
  <si>
    <t>Erin Harrison</t>
  </si>
  <si>
    <t>Thomas Gordon</t>
  </si>
  <si>
    <t>Cindy Torres</t>
  </si>
  <si>
    <t>Mario Newman</t>
  </si>
  <si>
    <t>Emily Hughes</t>
  </si>
  <si>
    <t>Emily Fisher</t>
  </si>
  <si>
    <t>Sheryl Everett DDS</t>
  </si>
  <si>
    <t>Caleb Coffey</t>
  </si>
  <si>
    <t>Brianna Murray</t>
  </si>
  <si>
    <t>Amy Bell</t>
  </si>
  <si>
    <t>Tonya Estrada</t>
  </si>
  <si>
    <t>George Bowers</t>
  </si>
  <si>
    <t>Tyler Figueroa</t>
  </si>
  <si>
    <t>Roger Pugh</t>
  </si>
  <si>
    <t>Paul Ross</t>
  </si>
  <si>
    <t>Steven Green</t>
  </si>
  <si>
    <t>Amanda Walters</t>
  </si>
  <si>
    <t>Cody Sanchez</t>
  </si>
  <si>
    <t>Sherri Hess</t>
  </si>
  <si>
    <t>David Buchanan</t>
  </si>
  <si>
    <t>Daniel Hoffman</t>
  </si>
  <si>
    <t>Kathryn Choi</t>
  </si>
  <si>
    <t>Sharon Patterson</t>
  </si>
  <si>
    <t>Brooke Norris</t>
  </si>
  <si>
    <t>Linda Wilson</t>
  </si>
  <si>
    <t>Nathaniel Miller</t>
  </si>
  <si>
    <t>Michael Edwards</t>
  </si>
  <si>
    <t>Jane Gardner</t>
  </si>
  <si>
    <t>Anthony Lucas</t>
  </si>
  <si>
    <t>Robert Colon</t>
  </si>
  <si>
    <t>Patrick Williams</t>
  </si>
  <si>
    <t>Tiffany Hopkins</t>
  </si>
  <si>
    <t>Miguel Finley</t>
  </si>
  <si>
    <t>John Sullivan</t>
  </si>
  <si>
    <t>Albert Stevens</t>
  </si>
  <si>
    <t>Dean Barnes</t>
  </si>
  <si>
    <t>Eric York</t>
  </si>
  <si>
    <t>Breanna Ballard</t>
  </si>
  <si>
    <t>Joshua Booker</t>
  </si>
  <si>
    <t>Mary King</t>
  </si>
  <si>
    <t>Jennifer Brown DVM</t>
  </si>
  <si>
    <t>Gregory Cohen</t>
  </si>
  <si>
    <t>Mr. James Johnson</t>
  </si>
  <si>
    <t>Elizabeth Jordan</t>
  </si>
  <si>
    <t>Robert Carey</t>
  </si>
  <si>
    <t>Randy Pace</t>
  </si>
  <si>
    <t>Brian Herrera</t>
  </si>
  <si>
    <t>Julie Hayden</t>
  </si>
  <si>
    <t>Mario Jackson</t>
  </si>
  <si>
    <t>Dawn Flowers</t>
  </si>
  <si>
    <t>Darrell Burns</t>
  </si>
  <si>
    <t>Mr. Jason Jones</t>
  </si>
  <si>
    <t>Joseph Li</t>
  </si>
  <si>
    <t>Christopher Barrera</t>
  </si>
  <si>
    <t>Tyler Carroll</t>
  </si>
  <si>
    <t>Rachel Mcdonald</t>
  </si>
  <si>
    <t>Dawn Nelson</t>
  </si>
  <si>
    <t>Sara Jones</t>
  </si>
  <si>
    <t>Alison Anderson</t>
  </si>
  <si>
    <t>Jeffery Hurley</t>
  </si>
  <si>
    <t>Melissa Flores</t>
  </si>
  <si>
    <t>Erika Schneider</t>
  </si>
  <si>
    <t>Steven Salinas</t>
  </si>
  <si>
    <t>Kenneth Taylor</t>
  </si>
  <si>
    <t>Jennifer Hartman</t>
  </si>
  <si>
    <t>Cheryl Potter</t>
  </si>
  <si>
    <t>Lori Rodriguez</t>
  </si>
  <si>
    <t>Brian White</t>
  </si>
  <si>
    <t>Ashley Robbins</t>
  </si>
  <si>
    <t>Mary Mcguire</t>
  </si>
  <si>
    <t>Christie Warren</t>
  </si>
  <si>
    <t>Monica Henderson</t>
  </si>
  <si>
    <t>Connie Lucas</t>
  </si>
  <si>
    <t>William Harris</t>
  </si>
  <si>
    <t>Michelle Mendez</t>
  </si>
  <si>
    <t>Richard Mendez</t>
  </si>
  <si>
    <t>Stuart Rodriguez</t>
  </si>
  <si>
    <t>Curtis Diaz</t>
  </si>
  <si>
    <t>Joan Trevino</t>
  </si>
  <si>
    <t>Gregory Pollard</t>
  </si>
  <si>
    <t>Lori Petty</t>
  </si>
  <si>
    <t>Christina Gutierrez</t>
  </si>
  <si>
    <t>Ashley Kim</t>
  </si>
  <si>
    <t>Jennifer Wilson</t>
  </si>
  <si>
    <t>Scott Russell</t>
  </si>
  <si>
    <t>Evan Blackburn</t>
  </si>
  <si>
    <t>Justin Hampton</t>
  </si>
  <si>
    <t>Marie Reese</t>
  </si>
  <si>
    <t>Sheila Gordon</t>
  </si>
  <si>
    <t>Jessica Davis</t>
  </si>
  <si>
    <t>Tyler Carter</t>
  </si>
  <si>
    <t>David Burke</t>
  </si>
  <si>
    <t>Joshua Bullock</t>
  </si>
  <si>
    <t>Gabriel Peters</t>
  </si>
  <si>
    <t>Christine Duran</t>
  </si>
  <si>
    <t>Nancy Mendez</t>
  </si>
  <si>
    <t>Susan Fisher</t>
  </si>
  <si>
    <t>Meghan Burgess</t>
  </si>
  <si>
    <t>Jeffery Jackson</t>
  </si>
  <si>
    <t>David Tran</t>
  </si>
  <si>
    <t>Karina Harris</t>
  </si>
  <si>
    <t>Bradley Gibbs</t>
  </si>
  <si>
    <t>Stephen Mitchell</t>
  </si>
  <si>
    <t>Gabriel Warren</t>
  </si>
  <si>
    <t>James Hines</t>
  </si>
  <si>
    <t>Gabriela Wilson</t>
  </si>
  <si>
    <t>Kara Wilson</t>
  </si>
  <si>
    <t>John Butler</t>
  </si>
  <si>
    <t>Jared Villanueva</t>
  </si>
  <si>
    <t>Mary Hammond</t>
  </si>
  <si>
    <t>Margaret Mayo</t>
  </si>
  <si>
    <t>Ray Smith</t>
  </si>
  <si>
    <t>Derek Morris</t>
  </si>
  <si>
    <t>Carrie Martinez</t>
  </si>
  <si>
    <t>Thomas Spence</t>
  </si>
  <si>
    <t>Carrie Sloan</t>
  </si>
  <si>
    <t>Mrs. Kimberly Woodard MD</t>
  </si>
  <si>
    <t>Harry Alexander</t>
  </si>
  <si>
    <t>David Cox</t>
  </si>
  <si>
    <t>Sheryl Gray</t>
  </si>
  <si>
    <t>Michael Bishop</t>
  </si>
  <si>
    <t>Dalton Moore</t>
  </si>
  <si>
    <t>Caroline Bell</t>
  </si>
  <si>
    <t>Vanessa Shelton</t>
  </si>
  <si>
    <t>Scott White</t>
  </si>
  <si>
    <t>Richard Smith</t>
  </si>
  <si>
    <t>Daniel Rodriguez</t>
  </si>
  <si>
    <t>Mr. Kevin Bradley</t>
  </si>
  <si>
    <t>Judith Evans</t>
  </si>
  <si>
    <t>Michele Roman</t>
  </si>
  <si>
    <t>Barry Mckenzie</t>
  </si>
  <si>
    <t>Sara Stokes</t>
  </si>
  <si>
    <t>Rebecca Bailey</t>
  </si>
  <si>
    <t>Rachel Sosa</t>
  </si>
  <si>
    <t>Amy Hubbard</t>
  </si>
  <si>
    <t>Gary Grant</t>
  </si>
  <si>
    <t>Kimberly Smith</t>
  </si>
  <si>
    <t>Jennifer Nichols</t>
  </si>
  <si>
    <t>Rachel Robinson</t>
  </si>
  <si>
    <t>Brandon Atkinson</t>
  </si>
  <si>
    <t>Dawn Mclaughlin</t>
  </si>
  <si>
    <t>Terry Smith</t>
  </si>
  <si>
    <t>Alejandro Bennett</t>
  </si>
  <si>
    <t>Patricia Williams</t>
  </si>
  <si>
    <t>Jose Sharp</t>
  </si>
  <si>
    <t>Sarah Stark</t>
  </si>
  <si>
    <t>Mark Thomas</t>
  </si>
  <si>
    <t>Alexander Johnson</t>
  </si>
  <si>
    <t>Henry Harmon</t>
  </si>
  <si>
    <t>Nancy Jackson</t>
  </si>
  <si>
    <t>Taylor Walters</t>
  </si>
  <si>
    <t>Abigail Rodriguez</t>
  </si>
  <si>
    <t>Dr. Susan Cook</t>
  </si>
  <si>
    <t>John Jensen</t>
  </si>
  <si>
    <t>Sean Barrett</t>
  </si>
  <si>
    <t>Kenneth Brown</t>
  </si>
  <si>
    <t>Samantha Clark DDS</t>
  </si>
  <si>
    <t>Cynthia Cox</t>
  </si>
  <si>
    <t>Jamie Gonzalez</t>
  </si>
  <si>
    <t>Joseph Thomas</t>
  </si>
  <si>
    <t>Brent Montes</t>
  </si>
  <si>
    <t>Elizabeth Dudley</t>
  </si>
  <si>
    <t>Alexa Romero</t>
  </si>
  <si>
    <t>Jerry Smith</t>
  </si>
  <si>
    <t>James Smith</t>
  </si>
  <si>
    <t>Anthony Lam</t>
  </si>
  <si>
    <t>Tom Diaz</t>
  </si>
  <si>
    <t>Vanessa Gill</t>
  </si>
  <si>
    <t>Robert Hensley</t>
  </si>
  <si>
    <t>Matthew Guerrero</t>
  </si>
  <si>
    <t>Jennifer Vargas</t>
  </si>
  <si>
    <t>Taylor Lopez</t>
  </si>
  <si>
    <t>Juan Dean</t>
  </si>
  <si>
    <t>Karen Hayden</t>
  </si>
  <si>
    <t>Heather Anderson</t>
  </si>
  <si>
    <t>Austin Reyes</t>
  </si>
  <si>
    <t>Melissa Fisher</t>
  </si>
  <si>
    <t>Danny Allen</t>
  </si>
  <si>
    <t>Jose Costa</t>
  </si>
  <si>
    <t>Michelle Brennan</t>
  </si>
  <si>
    <t>Amanda Conner</t>
  </si>
  <si>
    <t>Christopher Jones</t>
  </si>
  <si>
    <t>Tyrone Juarez</t>
  </si>
  <si>
    <t>Chad Nelson</t>
  </si>
  <si>
    <t>Zachary Gutierrez</t>
  </si>
  <si>
    <t>Mark Mcbride</t>
  </si>
  <si>
    <t>Debra Mcdonald</t>
  </si>
  <si>
    <t>Luis Sanchez</t>
  </si>
  <si>
    <t>David Durham</t>
  </si>
  <si>
    <t>Claire Randall</t>
  </si>
  <si>
    <t>Rebecca Stewart</t>
  </si>
  <si>
    <t>Ryan Cox</t>
  </si>
  <si>
    <t>Andrew Fletcher</t>
  </si>
  <si>
    <t>Nicole Sanchez</t>
  </si>
  <si>
    <t>Paul Walters</t>
  </si>
  <si>
    <t>Melissa Johnson</t>
  </si>
  <si>
    <t>Karen Ramos</t>
  </si>
  <si>
    <t>Laura Castillo</t>
  </si>
  <si>
    <t>James Anderson</t>
  </si>
  <si>
    <t>Andre Hall</t>
  </si>
  <si>
    <t>Scott Hernandez</t>
  </si>
  <si>
    <t>Wendy Lee</t>
  </si>
  <si>
    <t>Tony Ellison</t>
  </si>
  <si>
    <t>Samuel Irwin</t>
  </si>
  <si>
    <t>Mr. Timothy Mitchell DDS</t>
  </si>
  <si>
    <t>Linda Wall</t>
  </si>
  <si>
    <t>Mrs. Jacqueline Woodard MD</t>
  </si>
  <si>
    <t>Johnny Cook</t>
  </si>
  <si>
    <t>Miss Barbara Short</t>
  </si>
  <si>
    <t>Adam Lane</t>
  </si>
  <si>
    <t>Natasha Spencer</t>
  </si>
  <si>
    <t>Dawn Sanchez</t>
  </si>
  <si>
    <t>Robert Sims</t>
  </si>
  <si>
    <t>Allison Carroll</t>
  </si>
  <si>
    <t>Dominic Gray</t>
  </si>
  <si>
    <t>Eric Hill</t>
  </si>
  <si>
    <t>Anthony Baldwin</t>
  </si>
  <si>
    <t>Jeffrey Nguyen</t>
  </si>
  <si>
    <t>Jonathon Mclaughlin</t>
  </si>
  <si>
    <t>John Anderson</t>
  </si>
  <si>
    <t>Amy Harvey</t>
  </si>
  <si>
    <t>Dustin Le</t>
  </si>
  <si>
    <t>Kenneth Davis</t>
  </si>
  <si>
    <t>David Marshall</t>
  </si>
  <si>
    <t>Kelly Norton</t>
  </si>
  <si>
    <t>Wendy Taylor</t>
  </si>
  <si>
    <t>Monica Baldwin</t>
  </si>
  <si>
    <t>Joseph Martin</t>
  </si>
  <si>
    <t>Omar Martinez</t>
  </si>
  <si>
    <t>Corey Smith</t>
  </si>
  <si>
    <t>Maria Bowman</t>
  </si>
  <si>
    <t>Sandra Gill</t>
  </si>
  <si>
    <t>Chloe Newman</t>
  </si>
  <si>
    <t>Natalie Chavez DDS</t>
  </si>
  <si>
    <t>Marilyn Baker</t>
  </si>
  <si>
    <t>Robert Oliver</t>
  </si>
  <si>
    <t>Mary Mcmillan</t>
  </si>
  <si>
    <t>Carolyn Arnold</t>
  </si>
  <si>
    <t>Sarah Ruiz</t>
  </si>
  <si>
    <t>Christina Lewis</t>
  </si>
  <si>
    <t>Bradley Hernandez</t>
  </si>
  <si>
    <t>Allen Miller</t>
  </si>
  <si>
    <t>Nathan Flores</t>
  </si>
  <si>
    <t>Briana Martin</t>
  </si>
  <si>
    <t>David Clark</t>
  </si>
  <si>
    <t>Leroy Jones</t>
  </si>
  <si>
    <t>Heather Scott</t>
  </si>
  <si>
    <t>Vanessa Mendoza</t>
  </si>
  <si>
    <t>George Weaver</t>
  </si>
  <si>
    <t>Doris Cooper</t>
  </si>
  <si>
    <t>Bruce Anderson</t>
  </si>
  <si>
    <t>Kimberly Reed</t>
  </si>
  <si>
    <t>Tammy Allison</t>
  </si>
  <si>
    <t>Dale Mejia</t>
  </si>
  <si>
    <t>Jacob Kelley</t>
  </si>
  <si>
    <t>Matthew Hampton</t>
  </si>
  <si>
    <t>Brandon Smith</t>
  </si>
  <si>
    <t>Cynthia Hall</t>
  </si>
  <si>
    <t>Angel Fuller</t>
  </si>
  <si>
    <t>Sonia Davis</t>
  </si>
  <si>
    <t>Terry Gomez</t>
  </si>
  <si>
    <t>Travis Brown</t>
  </si>
  <si>
    <t>Dylan Dixon</t>
  </si>
  <si>
    <t>James Newton</t>
  </si>
  <si>
    <t>Antonio Shields</t>
  </si>
  <si>
    <t>Tricia Coleman</t>
  </si>
  <si>
    <t>Ryan Munoz</t>
  </si>
  <si>
    <t>Patricia Scott</t>
  </si>
  <si>
    <t>Ashley Gonzales</t>
  </si>
  <si>
    <t>Vicki Carter</t>
  </si>
  <si>
    <t>Matthew Turner</t>
  </si>
  <si>
    <t>James Melton</t>
  </si>
  <si>
    <t>Kayla Gregory</t>
  </si>
  <si>
    <t>Bryan Medina</t>
  </si>
  <si>
    <t>Cameron Harris</t>
  </si>
  <si>
    <t>Richard Rich</t>
  </si>
  <si>
    <t>Jason Robertson</t>
  </si>
  <si>
    <t>Philip Huff</t>
  </si>
  <si>
    <t>Kristie Nelson</t>
  </si>
  <si>
    <t>Mrs. Lisa Suarez</t>
  </si>
  <si>
    <t>Nicholas Wilson</t>
  </si>
  <si>
    <t>Catherine Jordan</t>
  </si>
  <si>
    <t>Michele Ruiz</t>
  </si>
  <si>
    <t>Kimberly Sparks</t>
  </si>
  <si>
    <t>Joseph Oconnor</t>
  </si>
  <si>
    <t>Joseph Armstrong</t>
  </si>
  <si>
    <t>Stephen Little</t>
  </si>
  <si>
    <t>Melissa Clark</t>
  </si>
  <si>
    <t>Michelle Robertson</t>
  </si>
  <si>
    <t>Nathan Rodriguez</t>
  </si>
  <si>
    <t>Marissa Hunt</t>
  </si>
  <si>
    <t>Steve Adams</t>
  </si>
  <si>
    <t>Crystal Reyes</t>
  </si>
  <si>
    <t>Lindsey Hall</t>
  </si>
  <si>
    <t>Jay Clark</t>
  </si>
  <si>
    <t>Michael Reeves</t>
  </si>
  <si>
    <t>Nicole Baxter</t>
  </si>
  <si>
    <t>Cheryl Davila</t>
  </si>
  <si>
    <t>Emma Pratt</t>
  </si>
  <si>
    <t>Jennifer Nelson</t>
  </si>
  <si>
    <t>William Garrett</t>
  </si>
  <si>
    <t>Jose Allen</t>
  </si>
  <si>
    <t>Anne Hernandez</t>
  </si>
  <si>
    <t>Christopher Stevens</t>
  </si>
  <si>
    <t>Alex Gordon</t>
  </si>
  <si>
    <t>Justin Thornton</t>
  </si>
  <si>
    <t>Jeremy Perez</t>
  </si>
  <si>
    <t>Janet Carpenter</t>
  </si>
  <si>
    <t>Kimberly Brown</t>
  </si>
  <si>
    <t>Luis Shaw</t>
  </si>
  <si>
    <t>Amanda Smith</t>
  </si>
  <si>
    <t>Stephanie Jackson</t>
  </si>
  <si>
    <t>Matthew Thomas</t>
  </si>
  <si>
    <t>Faith Morris</t>
  </si>
  <si>
    <t>David Potter</t>
  </si>
  <si>
    <t>Kimberly Lang</t>
  </si>
  <si>
    <t>Alicia Malone</t>
  </si>
  <si>
    <t>Gregory Sparks</t>
  </si>
  <si>
    <t>Mary Arias</t>
  </si>
  <si>
    <t>Jeffrey Robles</t>
  </si>
  <si>
    <t>Jay Scott</t>
  </si>
  <si>
    <t>Brandon Flores</t>
  </si>
  <si>
    <t>Donna King</t>
  </si>
  <si>
    <t>Curtis Barrett</t>
  </si>
  <si>
    <t>Jason Hayden</t>
  </si>
  <si>
    <t>Patricia Washington</t>
  </si>
  <si>
    <t>Chelsea Owens</t>
  </si>
  <si>
    <t>Kayla Garcia</t>
  </si>
  <si>
    <t>Lisa Torres</t>
  </si>
  <si>
    <t>Madison Smith</t>
  </si>
  <si>
    <t>Molly Choi</t>
  </si>
  <si>
    <t>Kristy Phillips</t>
  </si>
  <si>
    <t>Dr. Jacob Castaneda DVM</t>
  </si>
  <si>
    <t>Dr. Thomas Brown</t>
  </si>
  <si>
    <t>Michael Torres</t>
  </si>
  <si>
    <t>Scott Fleming</t>
  </si>
  <si>
    <t>Patrick Martin</t>
  </si>
  <si>
    <t>Brittany Martinez</t>
  </si>
  <si>
    <t>Lori Thomas</t>
  </si>
  <si>
    <t>Paul Mccullough</t>
  </si>
  <si>
    <t>Bruce Rodriguez</t>
  </si>
  <si>
    <t>Kristi Stevens</t>
  </si>
  <si>
    <t>Christina Hayes</t>
  </si>
  <si>
    <t>Dawn Choi</t>
  </si>
  <si>
    <t>Zachary Bowen</t>
  </si>
  <si>
    <t>Crystal Lee</t>
  </si>
  <si>
    <t>Dr. Justin Vega</t>
  </si>
  <si>
    <t>Bradley Riley</t>
  </si>
  <si>
    <t>George Mcpherson</t>
  </si>
  <si>
    <t>Erica Garcia</t>
  </si>
  <si>
    <t>Christopher Black</t>
  </si>
  <si>
    <t>Charles Smith</t>
  </si>
  <si>
    <t>Ellen Wright</t>
  </si>
  <si>
    <t>Ryan Hess</t>
  </si>
  <si>
    <t>Miss Alyssa Perez DDS</t>
  </si>
  <si>
    <t>Taylor Williamson</t>
  </si>
  <si>
    <t>Megan Sullivan</t>
  </si>
  <si>
    <t>Christina Lowe</t>
  </si>
  <si>
    <t>Anthony Sanchez DVM</t>
  </si>
  <si>
    <t>Kyle Strong</t>
  </si>
  <si>
    <t>Omar Thomas</t>
  </si>
  <si>
    <t>Angela Jimenez</t>
  </si>
  <si>
    <t>Rebecca Stone</t>
  </si>
  <si>
    <t>Kyle Smith</t>
  </si>
  <si>
    <t>Gwendolyn Ray</t>
  </si>
  <si>
    <t>Stephen Wilcox</t>
  </si>
  <si>
    <t>Ashley Barber</t>
  </si>
  <si>
    <t>Brittany Holt</t>
  </si>
  <si>
    <t>Amber Rodriguez</t>
  </si>
  <si>
    <t>Anne Roberts</t>
  </si>
  <si>
    <t>Katie Vega</t>
  </si>
  <si>
    <t>Gabriel Weber</t>
  </si>
  <si>
    <t>Jeffrey Williamson</t>
  </si>
  <si>
    <t>Jason Juarez</t>
  </si>
  <si>
    <t>Toni Hall</t>
  </si>
  <si>
    <t>Ryan Ramos</t>
  </si>
  <si>
    <t>Thomas Stuart</t>
  </si>
  <si>
    <t>Joseph Adams</t>
  </si>
  <si>
    <t>Kimberly Burke</t>
  </si>
  <si>
    <t>Brandon Church</t>
  </si>
  <si>
    <t>Jonathan Reed</t>
  </si>
  <si>
    <t>Julie Turner</t>
  </si>
  <si>
    <t>Joseph Vargas</t>
  </si>
  <si>
    <t>Michael Parker</t>
  </si>
  <si>
    <t>Erin Cunningham</t>
  </si>
  <si>
    <t>Elizabeth Watson</t>
  </si>
  <si>
    <t>Tara Mccoy</t>
  </si>
  <si>
    <t>Louis Larsen</t>
  </si>
  <si>
    <t>Tara Waller</t>
  </si>
  <si>
    <t>Morgan Thompson</t>
  </si>
  <si>
    <t>Jason Greene</t>
  </si>
  <si>
    <t>Patricia Terry</t>
  </si>
  <si>
    <t>Melissa Erickson</t>
  </si>
  <si>
    <t>Amanda Griffith</t>
  </si>
  <si>
    <t>Leslie Walker</t>
  </si>
  <si>
    <t>Johnny Dalton</t>
  </si>
  <si>
    <t>Crystal Kidd</t>
  </si>
  <si>
    <t>Kristina Phillips</t>
  </si>
  <si>
    <t>Michaela Rivera</t>
  </si>
  <si>
    <t>Tammy Mcpherson</t>
  </si>
  <si>
    <t>Carrie Thomas</t>
  </si>
  <si>
    <t>Kimberly Davis</t>
  </si>
  <si>
    <t>Pamela Levine</t>
  </si>
  <si>
    <t>Beverly Logan</t>
  </si>
  <si>
    <t>Pamela Ellison</t>
  </si>
  <si>
    <t>Kathleen Ross</t>
  </si>
  <si>
    <t>Erica Jones</t>
  </si>
  <si>
    <t>Adam Thomas</t>
  </si>
  <si>
    <t>Courtney Lucas</t>
  </si>
  <si>
    <t>Kimberly Montgomery</t>
  </si>
  <si>
    <t>Paul Smith</t>
  </si>
  <si>
    <t>Tamara Harding</t>
  </si>
  <si>
    <t>Suzanne Miller</t>
  </si>
  <si>
    <t>Laura Harvey</t>
  </si>
  <si>
    <t>Patrick Rodriguez</t>
  </si>
  <si>
    <t>Sabrina Davis</t>
  </si>
  <si>
    <t>Eric Smith</t>
  </si>
  <si>
    <t>Chad Kennedy</t>
  </si>
  <si>
    <t>Denise Lindsey</t>
  </si>
  <si>
    <t>Dawn Fuller MD</t>
  </si>
  <si>
    <t>Mark Santiago</t>
  </si>
  <si>
    <t>Jennifer Stewart</t>
  </si>
  <si>
    <t>Sara Harris</t>
  </si>
  <si>
    <t>Nicholas Anderson</t>
  </si>
  <si>
    <t>Robin Williams</t>
  </si>
  <si>
    <t>Angela Bell</t>
  </si>
  <si>
    <t>Alexander Mitchell</t>
  </si>
  <si>
    <t>Leslie Harmon</t>
  </si>
  <si>
    <t>Krystal Rice</t>
  </si>
  <si>
    <t>Mr. Gary Ramos</t>
  </si>
  <si>
    <t>Meghan Beck</t>
  </si>
  <si>
    <t>Nancy Vincent</t>
  </si>
  <si>
    <t>Jonathan Rangel</t>
  </si>
  <si>
    <t>Laura Smith</t>
  </si>
  <si>
    <t>Amber Mason</t>
  </si>
  <si>
    <t>Michelle Smith</t>
  </si>
  <si>
    <t>Megan Barry</t>
  </si>
  <si>
    <t>Kathy Clark</t>
  </si>
  <si>
    <t>Brenda Torres</t>
  </si>
  <si>
    <t>James Rose</t>
  </si>
  <si>
    <t>Stephen Weber</t>
  </si>
  <si>
    <t>Jason Hess</t>
  </si>
  <si>
    <t>Connie Collins</t>
  </si>
  <si>
    <t>Melissa Evans</t>
  </si>
  <si>
    <t>Thomas Martinez</t>
  </si>
  <si>
    <t>Erin Phillips</t>
  </si>
  <si>
    <t>Stephanie Lopez</t>
  </si>
  <si>
    <t>Christopher Knapp</t>
  </si>
  <si>
    <t>Shelly Russo</t>
  </si>
  <si>
    <t>Kimberly Galvan</t>
  </si>
  <si>
    <t>Renee Burnett</t>
  </si>
  <si>
    <t>Kerry Simon</t>
  </si>
  <si>
    <t>Alfred Barr</t>
  </si>
  <si>
    <t>Kelsey Hines</t>
  </si>
  <si>
    <t>Kimberly Dunlap</t>
  </si>
  <si>
    <t>David Pena</t>
  </si>
  <si>
    <t>Sarah Castro</t>
  </si>
  <si>
    <t>Tiffany Richardson</t>
  </si>
  <si>
    <t>Terry Burch</t>
  </si>
  <si>
    <t>Jason Davis</t>
  </si>
  <si>
    <t>Henry Bennett</t>
  </si>
  <si>
    <t>John Rodriguez</t>
  </si>
  <si>
    <t>Joseph Smith</t>
  </si>
  <si>
    <t>Anthony Miller</t>
  </si>
  <si>
    <t>Jennifer Clark</t>
  </si>
  <si>
    <t>Douglas Martin</t>
  </si>
  <si>
    <t>Brenda Carter</t>
  </si>
  <si>
    <t>Terri Foster</t>
  </si>
  <si>
    <t>Brenda Lang</t>
  </si>
  <si>
    <t>Melissa Vega</t>
  </si>
  <si>
    <t>Taylor Thompson</t>
  </si>
  <si>
    <t>Tina Welch</t>
  </si>
  <si>
    <t>Heather Arias</t>
  </si>
  <si>
    <t>Ralph Newman</t>
  </si>
  <si>
    <t>Stacy Bell</t>
  </si>
  <si>
    <t>Tyler Miller</t>
  </si>
  <si>
    <t>Valerie Lee</t>
  </si>
  <si>
    <t>Jimmy Wade</t>
  </si>
  <si>
    <t>Carlos Mcmillan</t>
  </si>
  <si>
    <t>Laurie Mata</t>
  </si>
  <si>
    <t>Brianna Phelps</t>
  </si>
  <si>
    <t>Heather Henry</t>
  </si>
  <si>
    <t>Rebecca Avery</t>
  </si>
  <si>
    <t>Anthony Blankenship</t>
  </si>
  <si>
    <t>Alice Martin</t>
  </si>
  <si>
    <t>Phillip Nelson</t>
  </si>
  <si>
    <t>Emily Martin</t>
  </si>
  <si>
    <t>Monica Blake</t>
  </si>
  <si>
    <t>Rebecca Carter</t>
  </si>
  <si>
    <t>Jason Warren</t>
  </si>
  <si>
    <t>Julian Maxwell</t>
  </si>
  <si>
    <t>Mrs. Kimberly Day MD</t>
  </si>
  <si>
    <t>Rachel Roman</t>
  </si>
  <si>
    <t>Elizabeth Johnston</t>
  </si>
  <si>
    <t>Sabrina Norris</t>
  </si>
  <si>
    <t>Brandi Harvey</t>
  </si>
  <si>
    <t>Hayden Parsons</t>
  </si>
  <si>
    <t>Gregory Marshall</t>
  </si>
  <si>
    <t>Eric Bailey</t>
  </si>
  <si>
    <t>Dawn Coleman</t>
  </si>
  <si>
    <t>Alex Jones</t>
  </si>
  <si>
    <t>Bobby Tanner</t>
  </si>
  <si>
    <t>Jeffrey Stephens</t>
  </si>
  <si>
    <t>Brenda Mendoza</t>
  </si>
  <si>
    <t>John Adkins</t>
  </si>
  <si>
    <t>James Diaz</t>
  </si>
  <si>
    <t>Leslie Velez</t>
  </si>
  <si>
    <t>Michael Lee</t>
  </si>
  <si>
    <t>Lindsey Davis</t>
  </si>
  <si>
    <t>Sara Brewer</t>
  </si>
  <si>
    <t>Seth Brown</t>
  </si>
  <si>
    <t>Stanley White</t>
  </si>
  <si>
    <t>Mrs. Theresa Wilson</t>
  </si>
  <si>
    <t>John Freeman</t>
  </si>
  <si>
    <t>Charles Nichols</t>
  </si>
  <si>
    <t>Cory Roth</t>
  </si>
  <si>
    <t>Michelle Durham</t>
  </si>
  <si>
    <t>Manuel Lewis</t>
  </si>
  <si>
    <t>Jeremy Garcia</t>
  </si>
  <si>
    <t>Christy Jordan</t>
  </si>
  <si>
    <t>Colleen Jones</t>
  </si>
  <si>
    <t>Zachary Brown</t>
  </si>
  <si>
    <t>Jill Stanton</t>
  </si>
  <si>
    <t>Kristen Jackson</t>
  </si>
  <si>
    <t>Jillian Ramos</t>
  </si>
  <si>
    <t>Angel Henry</t>
  </si>
  <si>
    <t>Brandon Martin</t>
  </si>
  <si>
    <t>Natalie Byrd</t>
  </si>
  <si>
    <t>Samuel Rivera</t>
  </si>
  <si>
    <t>Dr. Danny Mccann</t>
  </si>
  <si>
    <t>Jim Scott</t>
  </si>
  <si>
    <t>Molly Harris</t>
  </si>
  <si>
    <t>Edward Smith</t>
  </si>
  <si>
    <t>Jessica Lopez</t>
  </si>
  <si>
    <t>Cynthia Melton</t>
  </si>
  <si>
    <t>John Smith</t>
  </si>
  <si>
    <t>Carl Armstrong</t>
  </si>
  <si>
    <t>Ashley Garcia</t>
  </si>
  <si>
    <t>David Pierce</t>
  </si>
  <si>
    <t>Jerry Thompson</t>
  </si>
  <si>
    <t>Lisa Ramirez</t>
  </si>
  <si>
    <t>Rhonda Salinas</t>
  </si>
  <si>
    <t>Cheryl Chambers</t>
  </si>
  <si>
    <t>Mr. Micheal Henry</t>
  </si>
  <si>
    <t>Raymond Nelson</t>
  </si>
  <si>
    <t>Angela Roberts</t>
  </si>
  <si>
    <t>Megan Lamb</t>
  </si>
  <si>
    <t>Brian Owens</t>
  </si>
  <si>
    <t>Jacob Woods</t>
  </si>
  <si>
    <t>Ellen Barker</t>
  </si>
  <si>
    <t>Dana Garcia</t>
  </si>
  <si>
    <t>Howard Key</t>
  </si>
  <si>
    <t>Melissa Wallace</t>
  </si>
  <si>
    <t>Monique Davis</t>
  </si>
  <si>
    <t>Mary Martinez</t>
  </si>
  <si>
    <t>Jeff Johnson</t>
  </si>
  <si>
    <t>Douglas Ramirez</t>
  </si>
  <si>
    <t>Amy Miller</t>
  </si>
  <si>
    <t>Patrick Evans</t>
  </si>
  <si>
    <t>Shannon Jackson</t>
  </si>
  <si>
    <t>Kelly Rios</t>
  </si>
  <si>
    <t>Jill Buchanan</t>
  </si>
  <si>
    <t>Keith Johnson</t>
  </si>
  <si>
    <t>Gregory Smith</t>
  </si>
  <si>
    <t>Joseph Klein</t>
  </si>
  <si>
    <t>David Gregory</t>
  </si>
  <si>
    <t>Tammy Dixon</t>
  </si>
  <si>
    <t>Linda Hawkins</t>
  </si>
  <si>
    <t>Deborah Sanchez</t>
  </si>
  <si>
    <t>Melissa Carey</t>
  </si>
  <si>
    <t>Corey Johnson</t>
  </si>
  <si>
    <t>Jay Evans</t>
  </si>
  <si>
    <t>Kevin Green</t>
  </si>
  <si>
    <t>Rebecca Padilla</t>
  </si>
  <si>
    <t>Dave Romero</t>
  </si>
  <si>
    <t>David Mills</t>
  </si>
  <si>
    <t>William Alexander</t>
  </si>
  <si>
    <t>Mr. John Hill II</t>
  </si>
  <si>
    <t>John Foster</t>
  </si>
  <si>
    <t>Christy Berry</t>
  </si>
  <si>
    <t>Jason Ortiz</t>
  </si>
  <si>
    <t>Timothy Guzman</t>
  </si>
  <si>
    <t>Manuel Ramirez</t>
  </si>
  <si>
    <t>Erik Rodriguez</t>
  </si>
  <si>
    <t>Jo Richards</t>
  </si>
  <si>
    <t>Veronica Bennett</t>
  </si>
  <si>
    <t>Zoe Camacho</t>
  </si>
  <si>
    <t>Jennifer Cruz</t>
  </si>
  <si>
    <t>William Garza</t>
  </si>
  <si>
    <t>Matthew Anderson</t>
  </si>
  <si>
    <t>David Powell IV</t>
  </si>
  <si>
    <t>Lynn Franco</t>
  </si>
  <si>
    <t>Kelly Sutton</t>
  </si>
  <si>
    <t>Sheri Cortez</t>
  </si>
  <si>
    <t>Stanley Baker</t>
  </si>
  <si>
    <t>James James</t>
  </si>
  <si>
    <t>Mr. Harry Allen</t>
  </si>
  <si>
    <t>Matthew Roberts</t>
  </si>
  <si>
    <t>Gary Lee</t>
  </si>
  <si>
    <t>Taylor Dean</t>
  </si>
  <si>
    <t>Madeline Contreras</t>
  </si>
  <si>
    <t>Terri Ross</t>
  </si>
  <si>
    <t>Darrell Wall</t>
  </si>
  <si>
    <t>Roberta Haas</t>
  </si>
  <si>
    <t>Steve Smith</t>
  </si>
  <si>
    <t>William Davis</t>
  </si>
  <si>
    <t>Paige Hayes</t>
  </si>
  <si>
    <t>Julie Baird</t>
  </si>
  <si>
    <t>Isaac Shannon</t>
  </si>
  <si>
    <t>Daniel Lee</t>
  </si>
  <si>
    <t>Willie Miller</t>
  </si>
  <si>
    <t>Bryan Brown</t>
  </si>
  <si>
    <t>Penny Jennings</t>
  </si>
  <si>
    <t>Christopher Swanson</t>
  </si>
  <si>
    <t>Emily Price</t>
  </si>
  <si>
    <t>Rebecca Gonzalez</t>
  </si>
  <si>
    <t>Danielle Garza</t>
  </si>
  <si>
    <t>David Nelson</t>
  </si>
  <si>
    <t>Brian Phillips</t>
  </si>
  <si>
    <t>Anita Jones</t>
  </si>
  <si>
    <t>Sheila Moore</t>
  </si>
  <si>
    <t>Alex Thompson</t>
  </si>
  <si>
    <t>Danielle Gomez</t>
  </si>
  <si>
    <t>Alyssa Harris</t>
  </si>
  <si>
    <t>Steve Morton</t>
  </si>
  <si>
    <t>David Williams</t>
  </si>
  <si>
    <t>Lauren Williams</t>
  </si>
  <si>
    <t>Carrie Butler</t>
  </si>
  <si>
    <t>Matthew Hernandez</t>
  </si>
  <si>
    <t>Lauren Richardson</t>
  </si>
  <si>
    <t>Olivia Butler</t>
  </si>
  <si>
    <t>Carrie Clark</t>
  </si>
  <si>
    <t>Elizabeth Wolf</t>
  </si>
  <si>
    <t>Joanne Griffin</t>
  </si>
  <si>
    <t>Jacob Shannon</t>
  </si>
  <si>
    <t>Melanie Casey</t>
  </si>
  <si>
    <t>Lori Gray</t>
  </si>
  <si>
    <t>Ann Mcdonald</t>
  </si>
  <si>
    <t>Jesse Wilson</t>
  </si>
  <si>
    <t>Cynthia Vasquez</t>
  </si>
  <si>
    <t>Lawrence Smith</t>
  </si>
  <si>
    <t>Jacob Aguilar</t>
  </si>
  <si>
    <t>Gerald Sharp</t>
  </si>
  <si>
    <t>Terri Richards</t>
  </si>
  <si>
    <t>Elizabeth Vega</t>
  </si>
  <si>
    <t>Jeremy Cooper</t>
  </si>
  <si>
    <t>Matthew Bonilla</t>
  </si>
  <si>
    <t>Eric Montgomery</t>
  </si>
  <si>
    <t>Susan Gonzalez</t>
  </si>
  <si>
    <t>Jesse Miller</t>
  </si>
  <si>
    <t>Mr. Dustin Cross</t>
  </si>
  <si>
    <t>Dr. Pamela Key</t>
  </si>
  <si>
    <t>Jennifer Ward</t>
  </si>
  <si>
    <t>Philip Henderson</t>
  </si>
  <si>
    <t>Rachael Benson</t>
  </si>
  <si>
    <t>Donald Warner</t>
  </si>
  <si>
    <t>Wayne Schneider</t>
  </si>
  <si>
    <t>Amber Ward</t>
  </si>
  <si>
    <t>Karen Washington</t>
  </si>
  <si>
    <t>Shawn Wells</t>
  </si>
  <si>
    <t>Michelle Jackson</t>
  </si>
  <si>
    <t>Jesse Mendoza</t>
  </si>
  <si>
    <t>Tracy Powers</t>
  </si>
  <si>
    <t>Sarah Sanders</t>
  </si>
  <si>
    <t>Maria Franklin</t>
  </si>
  <si>
    <t>Melanie Andersen</t>
  </si>
  <si>
    <t>Michael Snyder</t>
  </si>
  <si>
    <t>Kimberly Morris</t>
  </si>
  <si>
    <t>Daniel Williamson</t>
  </si>
  <si>
    <t>Jared Webb</t>
  </si>
  <si>
    <t>Susan Davis</t>
  </si>
  <si>
    <t>Michelle Wolfe</t>
  </si>
  <si>
    <t>Keith Smith</t>
  </si>
  <si>
    <t>Jonathan Rivera</t>
  </si>
  <si>
    <t>Bryan Walsh</t>
  </si>
  <si>
    <t>William Best</t>
  </si>
  <si>
    <t>Anne Estes</t>
  </si>
  <si>
    <t>Jeffrey Morton</t>
  </si>
  <si>
    <t>Jacqueline Evans</t>
  </si>
  <si>
    <t>Tammy Smith</t>
  </si>
  <si>
    <t>Sara King</t>
  </si>
  <si>
    <t>Robert Goodman</t>
  </si>
  <si>
    <t>Gerald Cooke</t>
  </si>
  <si>
    <t>Natasha Harris</t>
  </si>
  <si>
    <t>Darryl Nolan</t>
  </si>
  <si>
    <t>Edward Wilkerson</t>
  </si>
  <si>
    <t>Frank Gomez</t>
  </si>
  <si>
    <t>Dr. Shawn Miranda</t>
  </si>
  <si>
    <t>Geoffrey Roberts</t>
  </si>
  <si>
    <t>Elizabeth Kramer</t>
  </si>
  <si>
    <t>Robert Williams</t>
  </si>
  <si>
    <t>Mr. Ryan Beck</t>
  </si>
  <si>
    <t>Amy Heath</t>
  </si>
  <si>
    <t>Zachary Cox</t>
  </si>
  <si>
    <t>Nicholas Guerra</t>
  </si>
  <si>
    <t>Sarah Fletcher</t>
  </si>
  <si>
    <t>Katelyn Jacobson</t>
  </si>
  <si>
    <t>Jenna Marquez</t>
  </si>
  <si>
    <t>Jennifer Smith</t>
  </si>
  <si>
    <t>Daniel Duke</t>
  </si>
  <si>
    <t>Dana Payne</t>
  </si>
  <si>
    <t>Miss Jessica Jones</t>
  </si>
  <si>
    <t>Jessica Garcia</t>
  </si>
  <si>
    <t>Rachel Jones</t>
  </si>
  <si>
    <t>Brent Mendoza</t>
  </si>
  <si>
    <t>Daniel Malone</t>
  </si>
  <si>
    <t>Nicholas Rodriguez</t>
  </si>
  <si>
    <t>Jerry Lopez</t>
  </si>
  <si>
    <t>Nicole Cook</t>
  </si>
  <si>
    <t>Anthony Ferguson</t>
  </si>
  <si>
    <t>Kimberly Miller</t>
  </si>
  <si>
    <t>Katherine Wong</t>
  </si>
  <si>
    <t>John Becker</t>
  </si>
  <si>
    <t>Nicole Smith</t>
  </si>
  <si>
    <t>Megan Castillo</t>
  </si>
  <si>
    <t>Ashley Alvarado</t>
  </si>
  <si>
    <t>Sarah Thomas</t>
  </si>
  <si>
    <t>Mckenzie Moore</t>
  </si>
  <si>
    <t>Ryan James</t>
  </si>
  <si>
    <t>Jaclyn Collins</t>
  </si>
  <si>
    <t>Jay Atkinson</t>
  </si>
  <si>
    <t>Whitney Chambers</t>
  </si>
  <si>
    <t>Dawn Gonzales</t>
  </si>
  <si>
    <t>Christine Hooper</t>
  </si>
  <si>
    <t>Joel Anthony</t>
  </si>
  <si>
    <t>Jodi Graves</t>
  </si>
  <si>
    <t>Vicki Taylor</t>
  </si>
  <si>
    <t>Johnathan Donaldson</t>
  </si>
  <si>
    <t>Monica Parker</t>
  </si>
  <si>
    <t>Chelsea Hill</t>
  </si>
  <si>
    <t>Lance Davis</t>
  </si>
  <si>
    <t>Ruth Randall</t>
  </si>
  <si>
    <t>Patricia Lee</t>
  </si>
  <si>
    <t>Tyrone Elliott</t>
  </si>
  <si>
    <t>Laura Montgomery</t>
  </si>
  <si>
    <t>Tiffany Jordan</t>
  </si>
  <si>
    <t>Richard Pearson</t>
  </si>
  <si>
    <t>John Rogers</t>
  </si>
  <si>
    <t>Andrea Bond</t>
  </si>
  <si>
    <t>Christina Henry</t>
  </si>
  <si>
    <t>Leslie Mason</t>
  </si>
  <si>
    <t>Daniel Stanley</t>
  </si>
  <si>
    <t>Bradley Parker</t>
  </si>
  <si>
    <t>Christina Carlson</t>
  </si>
  <si>
    <t>Sara Martinez</t>
  </si>
  <si>
    <t>Peter Hardy</t>
  </si>
  <si>
    <t>Kimberly Moses</t>
  </si>
  <si>
    <t>Larry Fritz</t>
  </si>
  <si>
    <t>Courtney Lopez</t>
  </si>
  <si>
    <t>Megan Woods</t>
  </si>
  <si>
    <t>Benjamin Brown</t>
  </si>
  <si>
    <t>Matthew Cole</t>
  </si>
  <si>
    <t>Jose Powell</t>
  </si>
  <si>
    <t>Erin Walker</t>
  </si>
  <si>
    <t>Tammy Schneider</t>
  </si>
  <si>
    <t>Cheryl Singh</t>
  </si>
  <si>
    <t>Vicki Hicks</t>
  </si>
  <si>
    <t>Rachel Spencer</t>
  </si>
  <si>
    <t>Joseph Murillo</t>
  </si>
  <si>
    <t>Eric Collins</t>
  </si>
  <si>
    <t>Richard Martin</t>
  </si>
  <si>
    <t>John Thompson</t>
  </si>
  <si>
    <t>Laura Stewart</t>
  </si>
  <si>
    <t>Jason Reed</t>
  </si>
  <si>
    <t>Christopher Taylor</t>
  </si>
  <si>
    <t>Nathaniel Castillo DDS</t>
  </si>
  <si>
    <t>Stephanie Rodriguez</t>
  </si>
  <si>
    <t>Ronald Miller</t>
  </si>
  <si>
    <t>Kristin Cole</t>
  </si>
  <si>
    <t>Jeanette Mcbride</t>
  </si>
  <si>
    <t>Christopher Krause</t>
  </si>
  <si>
    <t>Ryan Vazquez</t>
  </si>
  <si>
    <t>Justin Turner</t>
  </si>
  <si>
    <t>Gary Mitchell</t>
  </si>
  <si>
    <t>Andrea Odom</t>
  </si>
  <si>
    <t>Joshua Murphy</t>
  </si>
  <si>
    <t>Raymond Smith</t>
  </si>
  <si>
    <t>Elizabeth Middleton</t>
  </si>
  <si>
    <t>Logan Peterson</t>
  </si>
  <si>
    <t>Tina Ramos</t>
  </si>
  <si>
    <t>Mary Armstrong</t>
  </si>
  <si>
    <t>Joel Tyler</t>
  </si>
  <si>
    <t>Alex Walker</t>
  </si>
  <si>
    <t>Laura White</t>
  </si>
  <si>
    <t>Kevin Bates</t>
  </si>
  <si>
    <t>Dustin Carrillo</t>
  </si>
  <si>
    <t>Glenn Alexander</t>
  </si>
  <si>
    <t>Kevin Pearson</t>
  </si>
  <si>
    <t>Carmen Hurley</t>
  </si>
  <si>
    <t>Ruth Osborne</t>
  </si>
  <si>
    <t>Gregory James</t>
  </si>
  <si>
    <t>Erin Kelley</t>
  </si>
  <si>
    <t>Debra Knox</t>
  </si>
  <si>
    <t>Stacy Rogers</t>
  </si>
  <si>
    <t>Morgan Coleman</t>
  </si>
  <si>
    <t>Alex Stuart</t>
  </si>
  <si>
    <t>Charlene Nelson</t>
  </si>
  <si>
    <t>Paula Moreno</t>
  </si>
  <si>
    <t>Matthew Rowe</t>
  </si>
  <si>
    <t>John Jordan</t>
  </si>
  <si>
    <t>April Parsons</t>
  </si>
  <si>
    <t>Edgar Herrera MD</t>
  </si>
  <si>
    <t>Andres Barnett</t>
  </si>
  <si>
    <t>Elizabeth Miles</t>
  </si>
  <si>
    <t>Nicholas Edwards</t>
  </si>
  <si>
    <t>Michael Mejia</t>
  </si>
  <si>
    <t>Michael Reed</t>
  </si>
  <si>
    <t>Kelsey Fischer</t>
  </si>
  <si>
    <t>James Mendoza</t>
  </si>
  <si>
    <t>Catherine Kelley</t>
  </si>
  <si>
    <t>Brett Myers</t>
  </si>
  <si>
    <t>Bryce Anderson</t>
  </si>
  <si>
    <t>Kimberly Ross</t>
  </si>
  <si>
    <t>Crystal Espinoza</t>
  </si>
  <si>
    <t>Jeffrey Johnson</t>
  </si>
  <si>
    <t>Emily Anderson</t>
  </si>
  <si>
    <t>Stephen Ponce</t>
  </si>
  <si>
    <t>David Moody</t>
  </si>
  <si>
    <t>Jeffrey Hall</t>
  </si>
  <si>
    <t>Regina Ferguson</t>
  </si>
  <si>
    <t>Melissa Bradley</t>
  </si>
  <si>
    <t>Danielle Brown</t>
  </si>
  <si>
    <t>Hannah Hickman</t>
  </si>
  <si>
    <t>Shannon Meyer</t>
  </si>
  <si>
    <t>Amy Johnston</t>
  </si>
  <si>
    <t>William Schultz</t>
  </si>
  <si>
    <t>Ashley Daniels</t>
  </si>
  <si>
    <t>Brandon Bruce</t>
  </si>
  <si>
    <t>Rachel Phillips</t>
  </si>
  <si>
    <t>Pamela Reeves</t>
  </si>
  <si>
    <t>Todd Johnson</t>
  </si>
  <si>
    <t>Michael Sanchez</t>
  </si>
  <si>
    <t>Ashley Taylor</t>
  </si>
  <si>
    <t>Shawn Scott</t>
  </si>
  <si>
    <t>Position</t>
  </si>
  <si>
    <t>Salary Range</t>
  </si>
  <si>
    <t>Age Group</t>
  </si>
  <si>
    <t>Row Labels</t>
  </si>
  <si>
    <t>Consultant</t>
  </si>
  <si>
    <t>Junior</t>
  </si>
  <si>
    <t>Manager</t>
  </si>
  <si>
    <t>Mid-Level</t>
  </si>
  <si>
    <t>Senior Level</t>
  </si>
  <si>
    <t>Grand Total</t>
  </si>
  <si>
    <t>Column Labels</t>
  </si>
  <si>
    <t>2000 - 4000</t>
  </si>
  <si>
    <t>4000 - 6000</t>
  </si>
  <si>
    <t>6000 - 8000</t>
  </si>
  <si>
    <t>8000 - 10,000</t>
  </si>
  <si>
    <t>Count of Salary Range</t>
  </si>
  <si>
    <t>Count of Department</t>
  </si>
  <si>
    <t>Early Adults</t>
  </si>
  <si>
    <t>Mature Adults</t>
  </si>
  <si>
    <t>Mid Adults</t>
  </si>
  <si>
    <t>Seniors</t>
  </si>
  <si>
    <t>Young Adults</t>
  </si>
  <si>
    <t>Employee Performance and Salary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</si>
</sst>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Arial Black"/>
      <family val="2"/>
    </font>
    <font>
      <b/>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xf numFmtId="0" fontId="0" fillId="0" borderId="0" xfId="0" applyFill="1"/>
    <xf numFmtId="0" fontId="18" fillId="33" borderId="0" xfId="0" applyFont="1" applyFill="1" applyAlignment="1"/>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[Employee_Performance_Portofolio_Dashboard.xlsx]Pivot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Range Vs Position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Tables'!$C$3:$C$4</c:f>
              <c:strCache>
                <c:ptCount val="1"/>
                <c:pt idx="0">
                  <c:v>2000 - 4000</c:v>
                </c:pt>
              </c:strCache>
            </c:strRef>
          </c:tx>
          <c:spPr>
            <a:solidFill>
              <a:schemeClr val="accent1"/>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Tables'!$C$5:$C$10</c:f>
              <c:numCache>
                <c:formatCode>General</c:formatCode>
                <c:ptCount val="5"/>
                <c:pt idx="0">
                  <c:v>20</c:v>
                </c:pt>
                <c:pt idx="1">
                  <c:v>9</c:v>
                </c:pt>
                <c:pt idx="2">
                  <c:v>30</c:v>
                </c:pt>
                <c:pt idx="3">
                  <c:v>13</c:v>
                </c:pt>
                <c:pt idx="4">
                  <c:v>19</c:v>
                </c:pt>
              </c:numCache>
            </c:numRef>
          </c:val>
          <c:extLst>
            <c:ext xmlns:c16="http://schemas.microsoft.com/office/drawing/2014/chart" uri="{C3380CC4-5D6E-409C-BE32-E72D297353CC}">
              <c16:uniqueId val="{00000000-2E71-4E96-91E6-4FC2C874EED0}"/>
            </c:ext>
          </c:extLst>
        </c:ser>
        <c:ser>
          <c:idx val="1"/>
          <c:order val="1"/>
          <c:tx>
            <c:strRef>
              <c:f>'Pivot Tables'!$D$3:$D$4</c:f>
              <c:strCache>
                <c:ptCount val="1"/>
                <c:pt idx="0">
                  <c:v>4000 - 6000</c:v>
                </c:pt>
              </c:strCache>
            </c:strRef>
          </c:tx>
          <c:spPr>
            <a:solidFill>
              <a:schemeClr val="accent2"/>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Tables'!$D$5:$D$10</c:f>
              <c:numCache>
                <c:formatCode>General</c:formatCode>
                <c:ptCount val="5"/>
                <c:pt idx="0">
                  <c:v>16</c:v>
                </c:pt>
                <c:pt idx="1">
                  <c:v>6</c:v>
                </c:pt>
                <c:pt idx="2">
                  <c:v>32</c:v>
                </c:pt>
                <c:pt idx="3">
                  <c:v>9</c:v>
                </c:pt>
                <c:pt idx="4">
                  <c:v>16</c:v>
                </c:pt>
              </c:numCache>
            </c:numRef>
          </c:val>
          <c:extLst>
            <c:ext xmlns:c16="http://schemas.microsoft.com/office/drawing/2014/chart" uri="{C3380CC4-5D6E-409C-BE32-E72D297353CC}">
              <c16:uniqueId val="{00000007-56FB-4040-A19F-511DE324A800}"/>
            </c:ext>
          </c:extLst>
        </c:ser>
        <c:ser>
          <c:idx val="2"/>
          <c:order val="2"/>
          <c:tx>
            <c:strRef>
              <c:f>'Pivot Tables'!$E$3:$E$4</c:f>
              <c:strCache>
                <c:ptCount val="1"/>
                <c:pt idx="0">
                  <c:v>6000 - 8000</c:v>
                </c:pt>
              </c:strCache>
            </c:strRef>
          </c:tx>
          <c:spPr>
            <a:solidFill>
              <a:schemeClr val="accent3"/>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Tables'!$E$5:$E$10</c:f>
              <c:numCache>
                <c:formatCode>General</c:formatCode>
                <c:ptCount val="5"/>
                <c:pt idx="0">
                  <c:v>18</c:v>
                </c:pt>
                <c:pt idx="1">
                  <c:v>22</c:v>
                </c:pt>
                <c:pt idx="2">
                  <c:v>37</c:v>
                </c:pt>
                <c:pt idx="3">
                  <c:v>10</c:v>
                </c:pt>
                <c:pt idx="4">
                  <c:v>13</c:v>
                </c:pt>
              </c:numCache>
            </c:numRef>
          </c:val>
          <c:extLst>
            <c:ext xmlns:c16="http://schemas.microsoft.com/office/drawing/2014/chart" uri="{C3380CC4-5D6E-409C-BE32-E72D297353CC}">
              <c16:uniqueId val="{00000000-8EA0-4D7A-82B9-B651BAAAAAC7}"/>
            </c:ext>
          </c:extLst>
        </c:ser>
        <c:ser>
          <c:idx val="3"/>
          <c:order val="3"/>
          <c:tx>
            <c:strRef>
              <c:f>'Pivot Tables'!$F$3:$F$4</c:f>
              <c:strCache>
                <c:ptCount val="1"/>
                <c:pt idx="0">
                  <c:v>8000 - 10,000</c:v>
                </c:pt>
              </c:strCache>
            </c:strRef>
          </c:tx>
          <c:spPr>
            <a:solidFill>
              <a:schemeClr val="accent4"/>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Tables'!$F$5:$F$10</c:f>
              <c:numCache>
                <c:formatCode>General</c:formatCode>
                <c:ptCount val="5"/>
                <c:pt idx="0">
                  <c:v>13</c:v>
                </c:pt>
                <c:pt idx="1">
                  <c:v>9</c:v>
                </c:pt>
                <c:pt idx="2">
                  <c:v>36</c:v>
                </c:pt>
                <c:pt idx="3">
                  <c:v>8</c:v>
                </c:pt>
                <c:pt idx="4">
                  <c:v>9</c:v>
                </c:pt>
              </c:numCache>
            </c:numRef>
          </c:val>
          <c:extLst>
            <c:ext xmlns:c16="http://schemas.microsoft.com/office/drawing/2014/chart" uri="{C3380CC4-5D6E-409C-BE32-E72D297353CC}">
              <c16:uniqueId val="{00000001-8EA0-4D7A-82B9-B651BAAAAAC7}"/>
            </c:ext>
          </c:extLst>
        </c:ser>
        <c:dLbls>
          <c:showLegendKey val="0"/>
          <c:showVal val="0"/>
          <c:showCatName val="0"/>
          <c:showSerName val="0"/>
          <c:showPercent val="0"/>
          <c:showBubbleSize val="0"/>
        </c:dLbls>
        <c:gapWidth val="219"/>
        <c:overlap val="-27"/>
        <c:axId val="1955673695"/>
        <c:axId val="2017750623"/>
      </c:barChart>
      <c:catAx>
        <c:axId val="1955673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Position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50623"/>
        <c:crosses val="autoZero"/>
        <c:auto val="1"/>
        <c:lblAlgn val="ctr"/>
        <c:lblOffset val="100"/>
        <c:noMultiLvlLbl val="0"/>
      </c:catAx>
      <c:valAx>
        <c:axId val="201775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7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[Employee_Performance_Portofolio_Dashboard.xlsx]Pivot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Count of Employees Across Departments and Job Roles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Tables'!$C$32:$C$33</c:f>
              <c:strCache>
                <c:ptCount val="1"/>
                <c:pt idx="0">
                  <c:v>HR</c:v>
                </c:pt>
              </c:strCache>
            </c:strRef>
          </c:tx>
          <c:spPr>
            <a:solidFill>
              <a:schemeClr val="accent1"/>
            </a:solidFill>
            <a:ln>
              <a:noFill/>
            </a:ln>
            <a:effectLst/>
          </c:spPr>
          <c:invertIfNegative val="0"/>
          <c:cat>
            <c:strRef>
              <c:f>'Pivot Tables'!$B$34:$B$39</c:f>
              <c:strCache>
                <c:ptCount val="5"/>
                <c:pt idx="0">
                  <c:v>Consultant</c:v>
                </c:pt>
                <c:pt idx="1">
                  <c:v>Junior</c:v>
                </c:pt>
                <c:pt idx="2">
                  <c:v>Manager</c:v>
                </c:pt>
                <c:pt idx="3">
                  <c:v>Mid-Level</c:v>
                </c:pt>
                <c:pt idx="4">
                  <c:v>Senior Level</c:v>
                </c:pt>
              </c:strCache>
            </c:strRef>
          </c:cat>
          <c:val>
            <c:numRef>
              <c:f>'Pivot Tables'!$C$34:$C$39</c:f>
              <c:numCache>
                <c:formatCode>General</c:formatCode>
                <c:ptCount val="5"/>
                <c:pt idx="0">
                  <c:v>21</c:v>
                </c:pt>
                <c:pt idx="1">
                  <c:v>15</c:v>
                </c:pt>
                <c:pt idx="2">
                  <c:v>54</c:v>
                </c:pt>
                <c:pt idx="3">
                  <c:v>10</c:v>
                </c:pt>
                <c:pt idx="4">
                  <c:v>18</c:v>
                </c:pt>
              </c:numCache>
            </c:numRef>
          </c:val>
          <c:extLst>
            <c:ext xmlns:c16="http://schemas.microsoft.com/office/drawing/2014/chart" uri="{C3380CC4-5D6E-409C-BE32-E72D297353CC}">
              <c16:uniqueId val="{00000000-A65E-4298-B16A-3369F9BD0B8A}"/>
            </c:ext>
          </c:extLst>
        </c:ser>
        <c:ser>
          <c:idx val="1"/>
          <c:order val="1"/>
          <c:tx>
            <c:strRef>
              <c:f>'Pivot Tables'!$D$32:$D$33</c:f>
              <c:strCache>
                <c:ptCount val="1"/>
                <c:pt idx="0">
                  <c:v>IT</c:v>
                </c:pt>
              </c:strCache>
            </c:strRef>
          </c:tx>
          <c:spPr>
            <a:solidFill>
              <a:schemeClr val="accent2"/>
            </a:solidFill>
            <a:ln>
              <a:noFill/>
            </a:ln>
            <a:effectLst/>
          </c:spPr>
          <c:invertIfNegative val="0"/>
          <c:cat>
            <c:strRef>
              <c:f>'Pivot Tables'!$B$34:$B$39</c:f>
              <c:strCache>
                <c:ptCount val="5"/>
                <c:pt idx="0">
                  <c:v>Consultant</c:v>
                </c:pt>
                <c:pt idx="1">
                  <c:v>Junior</c:v>
                </c:pt>
                <c:pt idx="2">
                  <c:v>Manager</c:v>
                </c:pt>
                <c:pt idx="3">
                  <c:v>Mid-Level</c:v>
                </c:pt>
                <c:pt idx="4">
                  <c:v>Senior Level</c:v>
                </c:pt>
              </c:strCache>
            </c:strRef>
          </c:cat>
          <c:val>
            <c:numRef>
              <c:f>'Pivot Tables'!$D$34:$D$39</c:f>
              <c:numCache>
                <c:formatCode>General</c:formatCode>
                <c:ptCount val="5"/>
                <c:pt idx="0">
                  <c:v>21</c:v>
                </c:pt>
                <c:pt idx="1">
                  <c:v>16</c:v>
                </c:pt>
                <c:pt idx="2">
                  <c:v>37</c:v>
                </c:pt>
                <c:pt idx="3">
                  <c:v>17</c:v>
                </c:pt>
                <c:pt idx="4">
                  <c:v>15</c:v>
                </c:pt>
              </c:numCache>
            </c:numRef>
          </c:val>
          <c:extLst>
            <c:ext xmlns:c16="http://schemas.microsoft.com/office/drawing/2014/chart" uri="{C3380CC4-5D6E-409C-BE32-E72D297353CC}">
              <c16:uniqueId val="{00000001-A65E-4298-B16A-3369F9BD0B8A}"/>
            </c:ext>
          </c:extLst>
        </c:ser>
        <c:ser>
          <c:idx val="2"/>
          <c:order val="2"/>
          <c:tx>
            <c:strRef>
              <c:f>'Pivot Tables'!$E$32:$E$33</c:f>
              <c:strCache>
                <c:ptCount val="1"/>
                <c:pt idx="0">
                  <c:v>Sales</c:v>
                </c:pt>
              </c:strCache>
            </c:strRef>
          </c:tx>
          <c:spPr>
            <a:solidFill>
              <a:schemeClr val="accent3"/>
            </a:solidFill>
            <a:ln>
              <a:noFill/>
            </a:ln>
            <a:effectLst/>
          </c:spPr>
          <c:invertIfNegative val="0"/>
          <c:cat>
            <c:strRef>
              <c:f>'Pivot Tables'!$B$34:$B$39</c:f>
              <c:strCache>
                <c:ptCount val="5"/>
                <c:pt idx="0">
                  <c:v>Consultant</c:v>
                </c:pt>
                <c:pt idx="1">
                  <c:v>Junior</c:v>
                </c:pt>
                <c:pt idx="2">
                  <c:v>Manager</c:v>
                </c:pt>
                <c:pt idx="3">
                  <c:v>Mid-Level</c:v>
                </c:pt>
                <c:pt idx="4">
                  <c:v>Senior Level</c:v>
                </c:pt>
              </c:strCache>
            </c:strRef>
          </c:cat>
          <c:val>
            <c:numRef>
              <c:f>'Pivot Tables'!$E$34:$E$39</c:f>
              <c:numCache>
                <c:formatCode>General</c:formatCode>
                <c:ptCount val="5"/>
                <c:pt idx="0">
                  <c:v>25</c:v>
                </c:pt>
                <c:pt idx="1">
                  <c:v>15</c:v>
                </c:pt>
                <c:pt idx="2">
                  <c:v>44</c:v>
                </c:pt>
                <c:pt idx="3">
                  <c:v>13</c:v>
                </c:pt>
                <c:pt idx="4">
                  <c:v>24</c:v>
                </c:pt>
              </c:numCache>
            </c:numRef>
          </c:val>
          <c:extLst>
            <c:ext xmlns:c16="http://schemas.microsoft.com/office/drawing/2014/chart" uri="{C3380CC4-5D6E-409C-BE32-E72D297353CC}">
              <c16:uniqueId val="{00000000-17E6-4D5E-8FDA-90CA7474A635}"/>
            </c:ext>
          </c:extLst>
        </c:ser>
        <c:dLbls>
          <c:showLegendKey val="0"/>
          <c:showVal val="0"/>
          <c:showCatName val="0"/>
          <c:showSerName val="0"/>
          <c:showPercent val="0"/>
          <c:showBubbleSize val="0"/>
        </c:dLbls>
        <c:gapWidth val="182"/>
        <c:axId val="2110237407"/>
        <c:axId val="2017750207"/>
      </c:barChart>
      <c:catAx>
        <c:axId val="21102374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Position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50207"/>
        <c:crosses val="autoZero"/>
        <c:auto val="1"/>
        <c:lblAlgn val="ctr"/>
        <c:lblOffset val="100"/>
        <c:noMultiLvlLbl val="0"/>
      </c:catAx>
      <c:valAx>
        <c:axId val="2017750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3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[Employee_Performance_Portofolio_Dashboard.xlsx]Pivot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Count of Employees Across Departments and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Tables'!$C$54:$C$55</c:f>
              <c:strCache>
                <c:ptCount val="1"/>
                <c:pt idx="0">
                  <c:v>HR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Tables'!$B$56:$B$61</c:f>
              <c:strCache>
                <c:ptCount val="5"/>
                <c:pt idx="0">
                  <c:v>Early Adults</c:v>
                </c:pt>
                <c:pt idx="1">
                  <c:v>Mature Adults</c:v>
                </c:pt>
                <c:pt idx="2">
                  <c:v>Mid Adults</c:v>
                </c:pt>
                <c:pt idx="3">
                  <c:v>Seniors</c:v>
                </c:pt>
                <c:pt idx="4">
                  <c:v>Young Adults</c:v>
                </c:pt>
              </c:strCache>
            </c:strRef>
          </c:cat>
          <c:val>
            <c:numRef>
              <c:f>'Pivot Tables'!$C$56:$C$61</c:f>
              <c:numCache>
                <c:formatCode>General</c:formatCode>
                <c:ptCount val="5"/>
                <c:pt idx="0">
                  <c:v>30</c:v>
                </c:pt>
                <c:pt idx="1">
                  <c:v>26</c:v>
                </c:pt>
                <c:pt idx="2">
                  <c:v>19</c:v>
                </c:pt>
                <c:pt idx="3">
                  <c:v>19</c:v>
                </c:pt>
                <c:pt idx="4">
                  <c:v>24</c:v>
                </c:pt>
              </c:numCache>
            </c:numRef>
          </c:val>
          <c:smooth val="0"/>
          <c:extLst>
            <c:ext xmlns:c16="http://schemas.microsoft.com/office/drawing/2014/chart" uri="{C3380CC4-5D6E-409C-BE32-E72D297353CC}">
              <c16:uniqueId val="{00000000-49F5-4620-93B6-E457EF4E087D}"/>
            </c:ext>
          </c:extLst>
        </c:ser>
        <c:ser>
          <c:idx val="1"/>
          <c:order val="1"/>
          <c:tx>
            <c:strRef>
              <c:f>'Pivot Tables'!$D$54:$D$55</c:f>
              <c:strCache>
                <c:ptCount val="1"/>
                <c:pt idx="0">
                  <c:v>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Tables'!$B$56:$B$61</c:f>
              <c:strCache>
                <c:ptCount val="5"/>
                <c:pt idx="0">
                  <c:v>Early Adults</c:v>
                </c:pt>
                <c:pt idx="1">
                  <c:v>Mature Adults</c:v>
                </c:pt>
                <c:pt idx="2">
                  <c:v>Mid Adults</c:v>
                </c:pt>
                <c:pt idx="3">
                  <c:v>Seniors</c:v>
                </c:pt>
                <c:pt idx="4">
                  <c:v>Young Adults</c:v>
                </c:pt>
              </c:strCache>
            </c:strRef>
          </c:cat>
          <c:val>
            <c:numRef>
              <c:f>'Pivot Tables'!$D$56:$D$61</c:f>
              <c:numCache>
                <c:formatCode>General</c:formatCode>
                <c:ptCount val="5"/>
                <c:pt idx="0">
                  <c:v>25</c:v>
                </c:pt>
                <c:pt idx="1">
                  <c:v>20</c:v>
                </c:pt>
                <c:pt idx="2">
                  <c:v>26</c:v>
                </c:pt>
                <c:pt idx="3">
                  <c:v>22</c:v>
                </c:pt>
                <c:pt idx="4">
                  <c:v>13</c:v>
                </c:pt>
              </c:numCache>
            </c:numRef>
          </c:val>
          <c:smooth val="0"/>
          <c:extLst>
            <c:ext xmlns:c16="http://schemas.microsoft.com/office/drawing/2014/chart" uri="{C3380CC4-5D6E-409C-BE32-E72D297353CC}">
              <c16:uniqueId val="{00000001-49F5-4620-93B6-E457EF4E087D}"/>
            </c:ext>
          </c:extLst>
        </c:ser>
        <c:ser>
          <c:idx val="2"/>
          <c:order val="2"/>
          <c:tx>
            <c:strRef>
              <c:f>'Pivot Tables'!$E$54:$E$55</c:f>
              <c:strCache>
                <c:ptCount val="1"/>
                <c:pt idx="0">
                  <c:v>Sales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Tables'!$B$56:$B$61</c:f>
              <c:strCache>
                <c:ptCount val="5"/>
                <c:pt idx="0">
                  <c:v>Early Adults</c:v>
                </c:pt>
                <c:pt idx="1">
                  <c:v>Mature Adults</c:v>
                </c:pt>
                <c:pt idx="2">
                  <c:v>Mid Adults</c:v>
                </c:pt>
                <c:pt idx="3">
                  <c:v>Seniors</c:v>
                </c:pt>
                <c:pt idx="4">
                  <c:v>Young Adults</c:v>
                </c:pt>
              </c:strCache>
            </c:strRef>
          </c:cat>
          <c:val>
            <c:numRef>
              <c:f>'Pivot Tables'!$E$56:$E$61</c:f>
              <c:numCache>
                <c:formatCode>General</c:formatCode>
                <c:ptCount val="5"/>
                <c:pt idx="0">
                  <c:v>24</c:v>
                </c:pt>
                <c:pt idx="1">
                  <c:v>25</c:v>
                </c:pt>
                <c:pt idx="2">
                  <c:v>24</c:v>
                </c:pt>
                <c:pt idx="3">
                  <c:v>30</c:v>
                </c:pt>
                <c:pt idx="4">
                  <c:v>18</c:v>
                </c:pt>
              </c:numCache>
            </c:numRef>
          </c:val>
          <c:smooth val="0"/>
          <c:extLst>
            <c:ext xmlns:c16="http://schemas.microsoft.com/office/drawing/2014/chart" uri="{C3380CC4-5D6E-409C-BE32-E72D297353CC}">
              <c16:uniqueId val="{00000000-B00E-4D62-8ECA-2C5CE6AB13E6}"/>
            </c:ext>
          </c:extLst>
        </c:ser>
        <c:dLbls>
          <c:showLegendKey val="0"/>
          <c:showVal val="0"/>
          <c:showCatName val="0"/>
          <c:showSerName val="0"/>
          <c:showPercent val="0"/>
          <c:showBubbleSize val="0"/>
        </c:dLbls>
        <c:marker val="1"/>
        <c:smooth val="0"/>
        <c:axId val="1277652031"/>
        <c:axId val="1199566463"/>
      </c:lineChart>
      <c:catAx>
        <c:axId val="12776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66463"/>
        <c:crosses val="autoZero"/>
        <c:auto val="1"/>
        <c:lblAlgn val="ctr"/>
        <c:lblOffset val="100"/>
        <c:noMultiLvlLbl val="0"/>
      </c:catAx>
      <c:valAx>
        <c:axId val="119956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[Employee_Performance_Portofolio_Dashboard.xlsx]Pivot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Range Vs Position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'Pivot Tables'!$C$3:$C$4</c:f>
              <c:strCache>
                <c:ptCount val="1"/>
                <c:pt idx="0">
                  <c:v>2000 - 4000</c:v>
                </c:pt>
              </c:strCache>
            </c:strRef>
          </c:tx>
          <c:spPr>
            <a:solidFill>
              <a:schemeClr val="accent1"/>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Tables'!$C$5:$C$10</c:f>
              <c:numCache>
                <c:formatCode>General</c:formatCode>
                <c:ptCount val="5"/>
                <c:pt idx="0">
                  <c:v>20</c:v>
                </c:pt>
                <c:pt idx="1">
                  <c:v>9</c:v>
                </c:pt>
                <c:pt idx="2">
                  <c:v>30</c:v>
                </c:pt>
                <c:pt idx="3">
                  <c:v>13</c:v>
                </c:pt>
                <c:pt idx="4">
                  <c:v>19</c:v>
                </c:pt>
              </c:numCache>
            </c:numRef>
          </c:val>
          <c:extLst>
            <c:ext xmlns:c16="http://schemas.microsoft.com/office/drawing/2014/chart" uri="{C3380CC4-5D6E-409C-BE32-E72D297353CC}">
              <c16:uniqueId val="{00000000-984E-40CA-B96E-FFDDDBCBB43F}"/>
            </c:ext>
          </c:extLst>
        </c:ser>
        <c:ser>
          <c:idx val="1"/>
          <c:order val="1"/>
          <c:tx>
            <c:strRef>
              <c:f>'Pivot Tables'!$D$3:$D$4</c:f>
              <c:strCache>
                <c:ptCount val="1"/>
                <c:pt idx="0">
                  <c:v>4000 - 6000</c:v>
                </c:pt>
              </c:strCache>
            </c:strRef>
          </c:tx>
          <c:spPr>
            <a:solidFill>
              <a:schemeClr val="accent2"/>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Tables'!$D$5:$D$10</c:f>
              <c:numCache>
                <c:formatCode>General</c:formatCode>
                <c:ptCount val="5"/>
                <c:pt idx="0">
                  <c:v>16</c:v>
                </c:pt>
                <c:pt idx="1">
                  <c:v>6</c:v>
                </c:pt>
                <c:pt idx="2">
                  <c:v>32</c:v>
                </c:pt>
                <c:pt idx="3">
                  <c:v>9</c:v>
                </c:pt>
                <c:pt idx="4">
                  <c:v>16</c:v>
                </c:pt>
              </c:numCache>
            </c:numRef>
          </c:val>
          <c:extLst>
            <c:ext xmlns:c16="http://schemas.microsoft.com/office/drawing/2014/chart" uri="{C3380CC4-5D6E-409C-BE32-E72D297353CC}">
              <c16:uniqueId val="{0000000B-984E-40CA-B96E-FFDDDBCBB43F}"/>
            </c:ext>
          </c:extLst>
        </c:ser>
        <c:ser>
          <c:idx val="2"/>
          <c:order val="2"/>
          <c:tx>
            <c:strRef>
              <c:f>'Pivot Tables'!$E$3:$E$4</c:f>
              <c:strCache>
                <c:ptCount val="1"/>
                <c:pt idx="0">
                  <c:v>6000 - 8000</c:v>
                </c:pt>
              </c:strCache>
            </c:strRef>
          </c:tx>
          <c:spPr>
            <a:solidFill>
              <a:schemeClr val="accent3"/>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Tables'!$E$5:$E$10</c:f>
              <c:numCache>
                <c:formatCode>General</c:formatCode>
                <c:ptCount val="5"/>
                <c:pt idx="0">
                  <c:v>18</c:v>
                </c:pt>
                <c:pt idx="1">
                  <c:v>22</c:v>
                </c:pt>
                <c:pt idx="2">
                  <c:v>37</c:v>
                </c:pt>
                <c:pt idx="3">
                  <c:v>10</c:v>
                </c:pt>
                <c:pt idx="4">
                  <c:v>13</c:v>
                </c:pt>
              </c:numCache>
            </c:numRef>
          </c:val>
          <c:extLst>
            <c:ext xmlns:c16="http://schemas.microsoft.com/office/drawing/2014/chart" uri="{C3380CC4-5D6E-409C-BE32-E72D297353CC}">
              <c16:uniqueId val="{00000000-095B-4C3A-999F-DBAB0A874669}"/>
            </c:ext>
          </c:extLst>
        </c:ser>
        <c:ser>
          <c:idx val="3"/>
          <c:order val="3"/>
          <c:tx>
            <c:strRef>
              <c:f>'Pivot Tables'!$F$3:$F$4</c:f>
              <c:strCache>
                <c:ptCount val="1"/>
                <c:pt idx="0">
                  <c:v>8000 - 10,000</c:v>
                </c:pt>
              </c:strCache>
            </c:strRef>
          </c:tx>
          <c:spPr>
            <a:solidFill>
              <a:schemeClr val="accent4"/>
            </a:solidFill>
            <a:ln>
              <a:noFill/>
            </a:ln>
            <a:effectLst/>
          </c:spPr>
          <c:invertIfNegative val="0"/>
          <c:cat>
            <c:strRef>
              <c:f>'Pivot Tables'!$B$5:$B$10</c:f>
              <c:strCache>
                <c:ptCount val="5"/>
                <c:pt idx="0">
                  <c:v>Consultant</c:v>
                </c:pt>
                <c:pt idx="1">
                  <c:v>Junior</c:v>
                </c:pt>
                <c:pt idx="2">
                  <c:v>Manager</c:v>
                </c:pt>
                <c:pt idx="3">
                  <c:v>Mid-Level</c:v>
                </c:pt>
                <c:pt idx="4">
                  <c:v>Senior Level</c:v>
                </c:pt>
              </c:strCache>
            </c:strRef>
          </c:cat>
          <c:val>
            <c:numRef>
              <c:f>'Pivot Tables'!$F$5:$F$10</c:f>
              <c:numCache>
                <c:formatCode>General</c:formatCode>
                <c:ptCount val="5"/>
                <c:pt idx="0">
                  <c:v>13</c:v>
                </c:pt>
                <c:pt idx="1">
                  <c:v>9</c:v>
                </c:pt>
                <c:pt idx="2">
                  <c:v>36</c:v>
                </c:pt>
                <c:pt idx="3">
                  <c:v>8</c:v>
                </c:pt>
                <c:pt idx="4">
                  <c:v>9</c:v>
                </c:pt>
              </c:numCache>
            </c:numRef>
          </c:val>
          <c:extLst>
            <c:ext xmlns:c16="http://schemas.microsoft.com/office/drawing/2014/chart" uri="{C3380CC4-5D6E-409C-BE32-E72D297353CC}">
              <c16:uniqueId val="{00000001-095B-4C3A-999F-DBAB0A874669}"/>
            </c:ext>
          </c:extLst>
        </c:ser>
        <c:dLbls>
          <c:showLegendKey val="0"/>
          <c:showVal val="0"/>
          <c:showCatName val="0"/>
          <c:showSerName val="0"/>
          <c:showPercent val="0"/>
          <c:showBubbleSize val="0"/>
        </c:dLbls>
        <c:gapWidth val="219"/>
        <c:overlap val="-27"/>
        <c:axId val="1955673695"/>
        <c:axId val="2017750623"/>
      </c:barChart>
      <c:catAx>
        <c:axId val="1955673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Position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50623"/>
        <c:crosses val="autoZero"/>
        <c:auto val="1"/>
        <c:lblAlgn val="ctr"/>
        <c:lblOffset val="100"/>
        <c:noMultiLvlLbl val="0"/>
      </c:catAx>
      <c:valAx>
        <c:axId val="201775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67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[Employee_Performance_Portofolio_Dashboard.xlsx]Pivot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Count of Employees Across Departments and Job Roles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'Pivot Tables'!$C$32:$C$33</c:f>
              <c:strCache>
                <c:ptCount val="1"/>
                <c:pt idx="0">
                  <c:v>HR</c:v>
                </c:pt>
              </c:strCache>
            </c:strRef>
          </c:tx>
          <c:spPr>
            <a:solidFill>
              <a:schemeClr val="accent1"/>
            </a:solidFill>
            <a:ln>
              <a:noFill/>
            </a:ln>
            <a:effectLst/>
          </c:spPr>
          <c:invertIfNegative val="0"/>
          <c:cat>
            <c:strRef>
              <c:f>'Pivot Tables'!$B$34:$B$39</c:f>
              <c:strCache>
                <c:ptCount val="5"/>
                <c:pt idx="0">
                  <c:v>Consultant</c:v>
                </c:pt>
                <c:pt idx="1">
                  <c:v>Junior</c:v>
                </c:pt>
                <c:pt idx="2">
                  <c:v>Manager</c:v>
                </c:pt>
                <c:pt idx="3">
                  <c:v>Mid-Level</c:v>
                </c:pt>
                <c:pt idx="4">
                  <c:v>Senior Level</c:v>
                </c:pt>
              </c:strCache>
            </c:strRef>
          </c:cat>
          <c:val>
            <c:numRef>
              <c:f>'Pivot Tables'!$C$34:$C$39</c:f>
              <c:numCache>
                <c:formatCode>General</c:formatCode>
                <c:ptCount val="5"/>
                <c:pt idx="0">
                  <c:v>21</c:v>
                </c:pt>
                <c:pt idx="1">
                  <c:v>15</c:v>
                </c:pt>
                <c:pt idx="2">
                  <c:v>54</c:v>
                </c:pt>
                <c:pt idx="3">
                  <c:v>10</c:v>
                </c:pt>
                <c:pt idx="4">
                  <c:v>18</c:v>
                </c:pt>
              </c:numCache>
            </c:numRef>
          </c:val>
          <c:extLst>
            <c:ext xmlns:c16="http://schemas.microsoft.com/office/drawing/2014/chart" uri="{C3380CC4-5D6E-409C-BE32-E72D297353CC}">
              <c16:uniqueId val="{00000000-38CB-4D07-AB48-C15F827B4D02}"/>
            </c:ext>
          </c:extLst>
        </c:ser>
        <c:ser>
          <c:idx val="1"/>
          <c:order val="1"/>
          <c:tx>
            <c:strRef>
              <c:f>'Pivot Tables'!$D$32:$D$33</c:f>
              <c:strCache>
                <c:ptCount val="1"/>
                <c:pt idx="0">
                  <c:v>IT</c:v>
                </c:pt>
              </c:strCache>
            </c:strRef>
          </c:tx>
          <c:spPr>
            <a:solidFill>
              <a:schemeClr val="accent2"/>
            </a:solidFill>
            <a:ln>
              <a:noFill/>
            </a:ln>
            <a:effectLst/>
          </c:spPr>
          <c:invertIfNegative val="0"/>
          <c:cat>
            <c:strRef>
              <c:f>'Pivot Tables'!$B$34:$B$39</c:f>
              <c:strCache>
                <c:ptCount val="5"/>
                <c:pt idx="0">
                  <c:v>Consultant</c:v>
                </c:pt>
                <c:pt idx="1">
                  <c:v>Junior</c:v>
                </c:pt>
                <c:pt idx="2">
                  <c:v>Manager</c:v>
                </c:pt>
                <c:pt idx="3">
                  <c:v>Mid-Level</c:v>
                </c:pt>
                <c:pt idx="4">
                  <c:v>Senior Level</c:v>
                </c:pt>
              </c:strCache>
            </c:strRef>
          </c:cat>
          <c:val>
            <c:numRef>
              <c:f>'Pivot Tables'!$D$34:$D$39</c:f>
              <c:numCache>
                <c:formatCode>General</c:formatCode>
                <c:ptCount val="5"/>
                <c:pt idx="0">
                  <c:v>21</c:v>
                </c:pt>
                <c:pt idx="1">
                  <c:v>16</c:v>
                </c:pt>
                <c:pt idx="2">
                  <c:v>37</c:v>
                </c:pt>
                <c:pt idx="3">
                  <c:v>17</c:v>
                </c:pt>
                <c:pt idx="4">
                  <c:v>15</c:v>
                </c:pt>
              </c:numCache>
            </c:numRef>
          </c:val>
          <c:extLst>
            <c:ext xmlns:c16="http://schemas.microsoft.com/office/drawing/2014/chart" uri="{C3380CC4-5D6E-409C-BE32-E72D297353CC}">
              <c16:uniqueId val="{00000001-38CB-4D07-AB48-C15F827B4D02}"/>
            </c:ext>
          </c:extLst>
        </c:ser>
        <c:ser>
          <c:idx val="2"/>
          <c:order val="2"/>
          <c:tx>
            <c:strRef>
              <c:f>'Pivot Tables'!$E$32:$E$33</c:f>
              <c:strCache>
                <c:ptCount val="1"/>
                <c:pt idx="0">
                  <c:v>Sales</c:v>
                </c:pt>
              </c:strCache>
            </c:strRef>
          </c:tx>
          <c:spPr>
            <a:solidFill>
              <a:schemeClr val="accent3"/>
            </a:solidFill>
            <a:ln>
              <a:noFill/>
            </a:ln>
            <a:effectLst/>
          </c:spPr>
          <c:invertIfNegative val="0"/>
          <c:cat>
            <c:strRef>
              <c:f>'Pivot Tables'!$B$34:$B$39</c:f>
              <c:strCache>
                <c:ptCount val="5"/>
                <c:pt idx="0">
                  <c:v>Consultant</c:v>
                </c:pt>
                <c:pt idx="1">
                  <c:v>Junior</c:v>
                </c:pt>
                <c:pt idx="2">
                  <c:v>Manager</c:v>
                </c:pt>
                <c:pt idx="3">
                  <c:v>Mid-Level</c:v>
                </c:pt>
                <c:pt idx="4">
                  <c:v>Senior Level</c:v>
                </c:pt>
              </c:strCache>
            </c:strRef>
          </c:cat>
          <c:val>
            <c:numRef>
              <c:f>'Pivot Tables'!$E$34:$E$39</c:f>
              <c:numCache>
                <c:formatCode>General</c:formatCode>
                <c:ptCount val="5"/>
                <c:pt idx="0">
                  <c:v>25</c:v>
                </c:pt>
                <c:pt idx="1">
                  <c:v>15</c:v>
                </c:pt>
                <c:pt idx="2">
                  <c:v>44</c:v>
                </c:pt>
                <c:pt idx="3">
                  <c:v>13</c:v>
                </c:pt>
                <c:pt idx="4">
                  <c:v>24</c:v>
                </c:pt>
              </c:numCache>
            </c:numRef>
          </c:val>
          <c:extLst>
            <c:ext xmlns:c16="http://schemas.microsoft.com/office/drawing/2014/chart" uri="{C3380CC4-5D6E-409C-BE32-E72D297353CC}">
              <c16:uniqueId val="{00000003-38CB-4D07-AB48-C15F827B4D02}"/>
            </c:ext>
          </c:extLst>
        </c:ser>
        <c:dLbls>
          <c:showLegendKey val="0"/>
          <c:showVal val="0"/>
          <c:showCatName val="0"/>
          <c:showSerName val="0"/>
          <c:showPercent val="0"/>
          <c:showBubbleSize val="0"/>
        </c:dLbls>
        <c:gapWidth val="182"/>
        <c:axId val="2110237407"/>
        <c:axId val="2017750207"/>
      </c:barChart>
      <c:catAx>
        <c:axId val="21102374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Position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50207"/>
        <c:crosses val="autoZero"/>
        <c:auto val="1"/>
        <c:lblAlgn val="ctr"/>
        <c:lblOffset val="100"/>
        <c:noMultiLvlLbl val="0"/>
      </c:catAx>
      <c:valAx>
        <c:axId val="2017750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3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[Employee_Performance_Portofolio_Dashboard.xlsx]Pivot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Count of Employees Across Departments and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Tables'!$C$54:$C$55</c:f>
              <c:strCache>
                <c:ptCount val="1"/>
                <c:pt idx="0">
                  <c:v>HR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Tables'!$B$56:$B$61</c:f>
              <c:strCache>
                <c:ptCount val="5"/>
                <c:pt idx="0">
                  <c:v>Early Adults</c:v>
                </c:pt>
                <c:pt idx="1">
                  <c:v>Mature Adults</c:v>
                </c:pt>
                <c:pt idx="2">
                  <c:v>Mid Adults</c:v>
                </c:pt>
                <c:pt idx="3">
                  <c:v>Seniors</c:v>
                </c:pt>
                <c:pt idx="4">
                  <c:v>Young Adults</c:v>
                </c:pt>
              </c:strCache>
            </c:strRef>
          </c:cat>
          <c:val>
            <c:numRef>
              <c:f>'Pivot Tables'!$C$56:$C$61</c:f>
              <c:numCache>
                <c:formatCode>General</c:formatCode>
                <c:ptCount val="5"/>
                <c:pt idx="0">
                  <c:v>30</c:v>
                </c:pt>
                <c:pt idx="1">
                  <c:v>26</c:v>
                </c:pt>
                <c:pt idx="2">
                  <c:v>19</c:v>
                </c:pt>
                <c:pt idx="3">
                  <c:v>19</c:v>
                </c:pt>
                <c:pt idx="4">
                  <c:v>24</c:v>
                </c:pt>
              </c:numCache>
            </c:numRef>
          </c:val>
          <c:smooth val="0"/>
          <c:extLst>
            <c:ext xmlns:c16="http://schemas.microsoft.com/office/drawing/2014/chart" uri="{C3380CC4-5D6E-409C-BE32-E72D297353CC}">
              <c16:uniqueId val="{00000000-36B4-4EEE-B698-2C9AFF1A87B6}"/>
            </c:ext>
          </c:extLst>
        </c:ser>
        <c:ser>
          <c:idx val="1"/>
          <c:order val="1"/>
          <c:tx>
            <c:strRef>
              <c:f>'Pivot Tables'!$D$54:$D$55</c:f>
              <c:strCache>
                <c:ptCount val="1"/>
                <c:pt idx="0">
                  <c:v>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Tables'!$B$56:$B$61</c:f>
              <c:strCache>
                <c:ptCount val="5"/>
                <c:pt idx="0">
                  <c:v>Early Adults</c:v>
                </c:pt>
                <c:pt idx="1">
                  <c:v>Mature Adults</c:v>
                </c:pt>
                <c:pt idx="2">
                  <c:v>Mid Adults</c:v>
                </c:pt>
                <c:pt idx="3">
                  <c:v>Seniors</c:v>
                </c:pt>
                <c:pt idx="4">
                  <c:v>Young Adults</c:v>
                </c:pt>
              </c:strCache>
            </c:strRef>
          </c:cat>
          <c:val>
            <c:numRef>
              <c:f>'Pivot Tables'!$D$56:$D$61</c:f>
              <c:numCache>
                <c:formatCode>General</c:formatCode>
                <c:ptCount val="5"/>
                <c:pt idx="0">
                  <c:v>25</c:v>
                </c:pt>
                <c:pt idx="1">
                  <c:v>20</c:v>
                </c:pt>
                <c:pt idx="2">
                  <c:v>26</c:v>
                </c:pt>
                <c:pt idx="3">
                  <c:v>22</c:v>
                </c:pt>
                <c:pt idx="4">
                  <c:v>13</c:v>
                </c:pt>
              </c:numCache>
            </c:numRef>
          </c:val>
          <c:smooth val="0"/>
          <c:extLst>
            <c:ext xmlns:c16="http://schemas.microsoft.com/office/drawing/2014/chart" uri="{C3380CC4-5D6E-409C-BE32-E72D297353CC}">
              <c16:uniqueId val="{00000001-36B4-4EEE-B698-2C9AFF1A87B6}"/>
            </c:ext>
          </c:extLst>
        </c:ser>
        <c:ser>
          <c:idx val="2"/>
          <c:order val="2"/>
          <c:tx>
            <c:strRef>
              <c:f>'Pivot Tables'!$E$54:$E$55</c:f>
              <c:strCache>
                <c:ptCount val="1"/>
                <c:pt idx="0">
                  <c:v>Sales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Tables'!$B$56:$B$61</c:f>
              <c:strCache>
                <c:ptCount val="5"/>
                <c:pt idx="0">
                  <c:v>Early Adults</c:v>
                </c:pt>
                <c:pt idx="1">
                  <c:v>Mature Adults</c:v>
                </c:pt>
                <c:pt idx="2">
                  <c:v>Mid Adults</c:v>
                </c:pt>
                <c:pt idx="3">
                  <c:v>Seniors</c:v>
                </c:pt>
                <c:pt idx="4">
                  <c:v>Young Adults</c:v>
                </c:pt>
              </c:strCache>
            </c:strRef>
          </c:cat>
          <c:val>
            <c:numRef>
              <c:f>'Pivot Tables'!$E$56:$E$61</c:f>
              <c:numCache>
                <c:formatCode>General</c:formatCode>
                <c:ptCount val="5"/>
                <c:pt idx="0">
                  <c:v>24</c:v>
                </c:pt>
                <c:pt idx="1">
                  <c:v>25</c:v>
                </c:pt>
                <c:pt idx="2">
                  <c:v>24</c:v>
                </c:pt>
                <c:pt idx="3">
                  <c:v>30</c:v>
                </c:pt>
                <c:pt idx="4">
                  <c:v>18</c:v>
                </c:pt>
              </c:numCache>
            </c:numRef>
          </c:val>
          <c:smooth val="0"/>
          <c:extLst>
            <c:ext xmlns:c16="http://schemas.microsoft.com/office/drawing/2014/chart" uri="{C3380CC4-5D6E-409C-BE32-E72D297353CC}">
              <c16:uniqueId val="{00000003-36B4-4EEE-B698-2C9AFF1A87B6}"/>
            </c:ext>
          </c:extLst>
        </c:ser>
        <c:dLbls>
          <c:showLegendKey val="0"/>
          <c:showVal val="0"/>
          <c:showCatName val="0"/>
          <c:showSerName val="0"/>
          <c:showPercent val="0"/>
          <c:showBubbleSize val="0"/>
        </c:dLbls>
        <c:marker val="1"/>
        <c:smooth val="0"/>
        <c:axId val="1277652031"/>
        <c:axId val="1199566463"/>
      </c:lineChart>
      <c:catAx>
        <c:axId val="12776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66463"/>
        <c:crosses val="autoZero"/>
        <c:auto val="1"/>
        <c:lblAlgn val="ctr"/>
        <c:lblOffset val="100"/>
        <c:noMultiLvlLbl val="0"/>
      </c:catAx>
      <c:valAx>
        <c:axId val="119956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288924</xdr:colOff>
      <xdr:row>10</xdr:row>
      <xdr:rowOff>168274</xdr:rowOff>
    </xdr:from>
    <xdr:to>
      <xdr:col>13</xdr:col>
      <xdr:colOff>268309</xdr:colOff>
      <xdr:row>27</xdr:row>
      <xdr:rowOff>143098</xdr:rowOff>
    </xdr:to>
    <xdr:graphicFrame macro="">
      <xdr:nvGraphicFramePr>
        <xdr:cNvPr id="2" name="Chart 1">
          <a:extLst>
            <a:ext uri="{FF2B5EF4-FFF2-40B4-BE49-F238E27FC236}">
              <a16:creationId xmlns:a16="http://schemas.microsoft.com/office/drawing/2014/main" id="{71B60222-FD19-41EB-B577-D58052396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377824</xdr:colOff>
      <xdr:row>31</xdr:row>
      <xdr:rowOff>34924</xdr:rowOff>
    </xdr:from>
    <xdr:to>
      <xdr:col>15</xdr:col>
      <xdr:colOff>348803</xdr:colOff>
      <xdr:row>49</xdr:row>
      <xdr:rowOff>0</xdr:rowOff>
    </xdr:to>
    <xdr:graphicFrame macro="">
      <xdr:nvGraphicFramePr>
        <xdr:cNvPr id="3" name="Chart 2">
          <a:extLst>
            <a:ext uri="{FF2B5EF4-FFF2-40B4-BE49-F238E27FC236}">
              <a16:creationId xmlns:a16="http://schemas.microsoft.com/office/drawing/2014/main" id="{90DDC6C3-A4F0-400D-849D-9B8D2FC27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620689</xdr:colOff>
      <xdr:row>52</xdr:row>
      <xdr:rowOff>45969</xdr:rowOff>
    </xdr:from>
    <xdr:to>
      <xdr:col>16</xdr:col>
      <xdr:colOff>339858</xdr:colOff>
      <xdr:row>70</xdr:row>
      <xdr:rowOff>71548</xdr:rowOff>
    </xdr:to>
    <xdr:graphicFrame macro="">
      <xdr:nvGraphicFramePr>
        <xdr:cNvPr id="4" name="Chart 3">
          <a:extLst>
            <a:ext uri="{FF2B5EF4-FFF2-40B4-BE49-F238E27FC236}">
              <a16:creationId xmlns:a16="http://schemas.microsoft.com/office/drawing/2014/main" id="{25970AF7-2883-424C-B128-B83D6CF1F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296906</xdr:colOff>
      <xdr:row>7</xdr:row>
      <xdr:rowOff>4050</xdr:rowOff>
    </xdr:from>
    <xdr:to>
      <xdr:col>14</xdr:col>
      <xdr:colOff>8581</xdr:colOff>
      <xdr:row>24</xdr:row>
      <xdr:rowOff>41211</xdr:rowOff>
    </xdr:to>
    <xdr:graphicFrame macro="">
      <xdr:nvGraphicFramePr>
        <xdr:cNvPr id="2" name="Chart 1">
          <a:extLst>
            <a:ext uri="{FF2B5EF4-FFF2-40B4-BE49-F238E27FC236}">
              <a16:creationId xmlns:a16="http://schemas.microsoft.com/office/drawing/2014/main" id="{62A91878-5A53-41E3-A7A1-03B24145D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308097</xdr:colOff>
      <xdr:row>24</xdr:row>
      <xdr:rowOff>52074</xdr:rowOff>
    </xdr:from>
    <xdr:to>
      <xdr:col>14</xdr:col>
      <xdr:colOff>11656</xdr:colOff>
      <xdr:row>42</xdr:row>
      <xdr:rowOff>109772</xdr:rowOff>
    </xdr:to>
    <xdr:graphicFrame macro="">
      <xdr:nvGraphicFramePr>
        <xdr:cNvPr id="3" name="Chart 2">
          <a:extLst>
            <a:ext uri="{FF2B5EF4-FFF2-40B4-BE49-F238E27FC236}">
              <a16:creationId xmlns:a16="http://schemas.microsoft.com/office/drawing/2014/main" id="{8636DAF4-7EE3-47C0-B589-4D7D7DB77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308096</xdr:colOff>
      <xdr:row>42</xdr:row>
      <xdr:rowOff>113082</xdr:rowOff>
    </xdr:from>
    <xdr:to>
      <xdr:col>14</xdr:col>
      <xdr:colOff>11373</xdr:colOff>
      <xdr:row>61</xdr:row>
      <xdr:rowOff>48611</xdr:rowOff>
    </xdr:to>
    <xdr:graphicFrame macro="">
      <xdr:nvGraphicFramePr>
        <xdr:cNvPr id="4" name="Chart 3">
          <a:extLst>
            <a:ext uri="{FF2B5EF4-FFF2-40B4-BE49-F238E27FC236}">
              <a16:creationId xmlns:a16="http://schemas.microsoft.com/office/drawing/2014/main" id="{F64174C7-EF91-4FFF-8E87-6537BF2FF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8410</xdr:rowOff>
    </xdr:from>
    <xdr:to>
      <xdr:col>5</xdr:col>
      <xdr:colOff>287466</xdr:colOff>
      <xdr:row>14</xdr:row>
      <xdr:rowOff>118591</xdr:rowOff>
    </xdr:to>
    <mc:AlternateContent xmlns:mc="http://schemas.openxmlformats.org/markup-compatibility/2006" xmlns:tsle="http://schemas.microsoft.com/office/drawing/2012/timeslicer">
      <mc:Choice Requires="tsle">
        <xdr:graphicFrame macro="[0]!JoiningDate_Click">
          <xdr:nvGraphicFramePr>
            <xdr:cNvPr id="5" name="Joining Date" hidden="1">
              <a:extLst>
                <a:ext uri="{FF2B5EF4-FFF2-40B4-BE49-F238E27FC236}">
                  <a16:creationId xmlns:a16="http://schemas.microsoft.com/office/drawing/2014/main" id="{36A2FA54-2045-4B57-BF66-E1140AA343BC}"/>
                </a:ext>
              </a:extLst>
            </xdr:cNvPr>
            <xdr:cNvGraphicFramePr/>
          </xdr:nvGraphicFramePr>
          <xdr:xfrm>
            <a:off x="0" y="0"/>
            <a:ext cx="0" cy="0"/>
          </xdr:xfrm>
          <a:graphic>
            <a:graphicData uri="http://schemas.microsoft.com/office/drawing/2012/timeslicer">
              <tsle:timeslicer name="Joining Date"/>
            </a:graphicData>
          </a:graphic>
        </xdr:graphicFrame>
      </mc:Choice>
      <mc:Fallback xmlns="">
        <xdr:sp macro="" textlink="">
          <xdr:nvSpPr>
            <xdr:cNvPr id="0" name=""/>
            <xdr:cNvSpPr>
              <a:spLocks noTextEdit="1"/>
            </xdr:cNvSpPr>
          </xdr:nvSpPr>
          <xdr:spPr>
            <a:xfrm>
              <a:off x="0" y="1568059"/>
              <a:ext cx="3351062" cy="143588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17</xdr:row>
      <xdr:rowOff>38100</xdr:rowOff>
    </xdr:from>
    <xdr:to>
      <xdr:col>5</xdr:col>
      <xdr:colOff>304800</xdr:colOff>
      <xdr:row>27</xdr:row>
      <xdr:rowOff>114299</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FCFCA361-7886-4637-AB8B-59542AAD79E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3491609"/>
              <a:ext cx="3368396" cy="1970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114301</xdr:rowOff>
    </xdr:from>
    <xdr:to>
      <xdr:col>5</xdr:col>
      <xdr:colOff>304800</xdr:colOff>
      <xdr:row>39</xdr:row>
      <xdr:rowOff>127001</xdr:rowOff>
    </xdr:to>
    <mc:AlternateContent xmlns:mc="http://schemas.openxmlformats.org/markup-compatibility/2006" xmlns:a14="http://schemas.microsoft.com/office/drawing/2010/main">
      <mc:Choice Requires="a14">
        <xdr:graphicFrame macro="">
          <xdr:nvGraphicFramePr>
            <xdr:cNvPr id="8" name="Session">
              <a:extLst>
                <a:ext uri="{FF2B5EF4-FFF2-40B4-BE49-F238E27FC236}">
                  <a16:creationId xmlns:a16="http://schemas.microsoft.com/office/drawing/2014/main" id="{B1546C24-C7FF-464F-B06D-FE4250AD31B3}"/>
                </a:ext>
              </a:extLst>
            </xdr:cNvPr>
            <xdr:cNvGraphicFramePr/>
          </xdr:nvGraphicFramePr>
          <xdr:xfrm>
            <a:off x="0" y="0"/>
            <a:ext cx="0" cy="0"/>
          </xdr:xfrm>
          <a:graphic>
            <a:graphicData uri="http://schemas.microsoft.com/office/drawing/2010/slicer">
              <sle:slicer xmlns:sle="http://schemas.microsoft.com/office/drawing/2010/slicer" name="Session"/>
            </a:graphicData>
          </a:graphic>
        </xdr:graphicFrame>
      </mc:Choice>
      <mc:Fallback xmlns="">
        <xdr:sp macro="" textlink="">
          <xdr:nvSpPr>
            <xdr:cNvPr id="0" name=""/>
            <xdr:cNvSpPr>
              <a:spLocks noTextEdit="1"/>
            </xdr:cNvSpPr>
          </xdr:nvSpPr>
          <xdr:spPr>
            <a:xfrm>
              <a:off x="0" y="5461669"/>
              <a:ext cx="3368396" cy="2285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0</xdr:rowOff>
    </xdr:from>
    <xdr:to>
      <xdr:col>5</xdr:col>
      <xdr:colOff>307032</xdr:colOff>
      <xdr:row>17</xdr:row>
      <xdr:rowOff>34890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A2F20928-E3BE-4CCF-A195-F9E4A818DA3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559649"/>
              <a:ext cx="3370628" cy="19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136096</xdr:rowOff>
    </xdr:from>
    <xdr:to>
      <xdr:col>5</xdr:col>
      <xdr:colOff>300338</xdr:colOff>
      <xdr:row>53</xdr:row>
      <xdr:rowOff>137383</xdr:rowOff>
    </xdr:to>
    <mc:AlternateContent xmlns:mc="http://schemas.openxmlformats.org/markup-compatibility/2006" xmlns:a14="http://schemas.microsoft.com/office/drawing/2010/main">
      <mc:Choice Requires="a14">
        <xdr:graphicFrame macro="">
          <xdr:nvGraphicFramePr>
            <xdr:cNvPr id="10" name="Performance Score">
              <a:extLst>
                <a:ext uri="{FF2B5EF4-FFF2-40B4-BE49-F238E27FC236}">
                  <a16:creationId xmlns:a16="http://schemas.microsoft.com/office/drawing/2014/main" id="{95F05C4F-1237-483E-90C8-28E7A1C96D22}"/>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0" y="7756096"/>
              <a:ext cx="3363934" cy="2652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53</xdr:row>
      <xdr:rowOff>153179</xdr:rowOff>
    </xdr:from>
    <xdr:to>
      <xdr:col>5</xdr:col>
      <xdr:colOff>270154</xdr:colOff>
      <xdr:row>61</xdr:row>
      <xdr:rowOff>9692</xdr:rowOff>
    </xdr:to>
    <mc:AlternateContent xmlns:mc="http://schemas.openxmlformats.org/markup-compatibility/2006" xmlns:tsle="http://schemas.microsoft.com/office/drawing/2012/timeslicer">
      <mc:Choice Requires="tsle">
        <xdr:graphicFrame macro="">
          <xdr:nvGraphicFramePr>
            <xdr:cNvPr id="11" name="Joining Date 1">
              <a:extLst>
                <a:ext uri="{FF2B5EF4-FFF2-40B4-BE49-F238E27FC236}">
                  <a16:creationId xmlns:a16="http://schemas.microsoft.com/office/drawing/2014/main" id="{5114BB9A-5B0F-46EB-980E-53959CB27D6F}"/>
                </a:ext>
              </a:extLst>
            </xdr:cNvPr>
            <xdr:cNvGraphicFramePr/>
          </xdr:nvGraphicFramePr>
          <xdr:xfrm>
            <a:off x="0" y="0"/>
            <a:ext cx="0" cy="0"/>
          </xdr:xfrm>
          <a:graphic>
            <a:graphicData uri="http://schemas.microsoft.com/office/drawing/2012/timeslicer">
              <tsle:timeslicer name="Joining Date 1"/>
            </a:graphicData>
          </a:graphic>
        </xdr:graphicFrame>
      </mc:Choice>
      <mc:Fallback xmlns="">
        <xdr:sp macro="" textlink="">
          <xdr:nvSpPr>
            <xdr:cNvPr id="0" name=""/>
            <xdr:cNvSpPr>
              <a:spLocks noTextEdit="1"/>
            </xdr:cNvSpPr>
          </xdr:nvSpPr>
          <xdr:spPr>
            <a:xfrm>
              <a:off x="0" y="10424583"/>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73.297806249997" createdVersion="6" refreshedVersion="6" minRefreshableVersion="3" recordCount="345" xr:uid="{ED551F57-35F1-435F-9873-4477642112B3}">
  <cacheSource type="worksheet">
    <worksheetSource ref="A1:O346" sheet="Working Sheet"/>
  </cacheSource>
  <cacheFields count="15">
    <cacheField name="ID" numFmtId="0">
      <sharedItems containsSemiMixedTypes="0" containsString="0" containsNumber="1" containsInteger="1" minValue="1" maxValue="1000"/>
    </cacheField>
    <cacheField name="Name" numFmtId="0">
      <sharedItems/>
    </cacheField>
    <cacheField name="Age" numFmtId="0">
      <sharedItems containsSemiMixedTypes="0" containsString="0" containsNumber="1" containsInteger="1" minValue="18" maxValue="65"/>
    </cacheField>
    <cacheField name="Age Group" numFmtId="0">
      <sharedItems count="5">
        <s v="Mature Adults"/>
        <s v="Early Adults"/>
        <s v="Mid Adults"/>
        <s v="Seniors"/>
        <s v="Young Adults"/>
      </sharedItems>
    </cacheField>
    <cacheField name="Gender" numFmtId="0">
      <sharedItems count="2">
        <s v="Female"/>
        <s v="Male"/>
      </sharedItems>
    </cacheField>
    <cacheField name="Department" numFmtId="0">
      <sharedItems count="3">
        <s v="HR"/>
        <s v="Sales"/>
        <s v="IT"/>
      </sharedItems>
    </cacheField>
    <cacheField name="Salary" numFmtId="0">
      <sharedItems containsSemiMixedTypes="0" containsString="0" containsNumber="1" containsInteger="1" minValue="2016" maxValue="9993"/>
    </cacheField>
    <cacheField name="Salary Range" numFmtId="0">
      <sharedItems count="4">
        <s v="4000 - 6000"/>
        <s v="2000 - 4000"/>
        <s v="6000 - 8000"/>
        <s v="8000 - 10,000"/>
      </sharedItems>
    </cacheField>
    <cacheField name="Joining Date" numFmtId="14">
      <sharedItems containsSemiMixedTypes="0" containsNonDate="0" containsDate="1" containsString="0" minDate="2014-12-19T00:00:00" maxDate="2024-12-05T00:00:00" count="320">
        <d v="2015-05-03T00:00:00"/>
        <d v="2016-06-24T00:00:00"/>
        <d v="2023-05-11T00:00:00"/>
        <d v="2018-05-26T00:00:00"/>
        <d v="2015-01-28T00:00:00"/>
        <d v="2018-05-18T00:00:00"/>
        <d v="2023-06-07T00:00:00"/>
        <d v="2018-02-07T00:00:00"/>
        <d v="2021-01-30T00:00:00"/>
        <d v="2022-04-09T00:00:00"/>
        <d v="2017-08-17T00:00:00"/>
        <d v="2018-02-25T00:00:00"/>
        <d v="2024-08-12T00:00:00"/>
        <d v="2014-12-19T00:00:00"/>
        <d v="2023-02-25T00:00:00"/>
        <d v="2023-09-21T00:00:00"/>
        <d v="2021-04-09T00:00:00"/>
        <d v="2023-01-30T00:00:00"/>
        <d v="2023-06-02T00:00:00"/>
        <d v="2023-02-17T00:00:00"/>
        <d v="2021-09-21T00:00:00"/>
        <d v="2024-10-31T00:00:00"/>
        <d v="2017-10-19T00:00:00"/>
        <d v="2018-04-08T00:00:00"/>
        <d v="2019-05-18T00:00:00"/>
        <d v="2016-04-06T00:00:00"/>
        <d v="2015-05-14T00:00:00"/>
        <d v="2020-11-12T00:00:00"/>
        <d v="2017-06-23T00:00:00"/>
        <d v="2023-01-07T00:00:00"/>
        <d v="2023-03-16T00:00:00"/>
        <d v="2023-02-06T00:00:00"/>
        <d v="2018-01-29T00:00:00"/>
        <d v="2021-01-23T00:00:00"/>
        <d v="2023-03-25T00:00:00"/>
        <d v="2021-04-28T00:00:00"/>
        <d v="2019-01-05T00:00:00"/>
        <d v="2019-04-24T00:00:00"/>
        <d v="2017-12-10T00:00:00"/>
        <d v="2024-01-26T00:00:00"/>
        <d v="2020-06-12T00:00:00"/>
        <d v="2018-03-08T00:00:00"/>
        <d v="2022-10-16T00:00:00"/>
        <d v="2020-05-17T00:00:00"/>
        <d v="2018-08-26T00:00:00"/>
        <d v="2021-06-26T00:00:00"/>
        <d v="2018-04-30T00:00:00"/>
        <d v="2017-03-15T00:00:00"/>
        <d v="2023-10-21T00:00:00"/>
        <d v="2020-12-04T00:00:00"/>
        <d v="2019-01-27T00:00:00"/>
        <d v="2016-01-12T00:00:00"/>
        <d v="2015-02-04T00:00:00"/>
        <d v="2024-03-07T00:00:00"/>
        <d v="2023-01-17T00:00:00"/>
        <d v="2023-08-26T00:00:00"/>
        <d v="2021-11-10T00:00:00"/>
        <d v="2019-08-22T00:00:00"/>
        <d v="2022-06-25T00:00:00"/>
        <d v="2022-07-12T00:00:00"/>
        <d v="2021-05-21T00:00:00"/>
        <d v="2019-08-04T00:00:00"/>
        <d v="2022-02-21T00:00:00"/>
        <d v="2019-02-09T00:00:00"/>
        <d v="2017-12-28T00:00:00"/>
        <d v="2021-02-05T00:00:00"/>
        <d v="2016-02-01T00:00:00"/>
        <d v="2019-10-16T00:00:00"/>
        <d v="2017-11-05T00:00:00"/>
        <d v="2020-08-20T00:00:00"/>
        <d v="2020-08-16T00:00:00"/>
        <d v="2016-07-11T00:00:00"/>
        <d v="2016-03-26T00:00:00"/>
        <d v="2024-07-17T00:00:00"/>
        <d v="2018-01-02T00:00:00"/>
        <d v="2019-03-24T00:00:00"/>
        <d v="2018-11-23T00:00:00"/>
        <d v="2015-09-21T00:00:00"/>
        <d v="2018-03-18T00:00:00"/>
        <d v="2020-01-05T00:00:00"/>
        <d v="2022-08-23T00:00:00"/>
        <d v="2022-07-29T00:00:00"/>
        <d v="2022-12-13T00:00:00"/>
        <d v="2016-06-23T00:00:00"/>
        <d v="2019-03-06T00:00:00"/>
        <d v="2019-05-15T00:00:00"/>
        <d v="2022-06-11T00:00:00"/>
        <d v="2016-12-31T00:00:00"/>
        <d v="2016-11-27T00:00:00"/>
        <d v="2020-11-02T00:00:00"/>
        <d v="2021-01-26T00:00:00"/>
        <d v="2023-10-17T00:00:00"/>
        <d v="2017-04-22T00:00:00"/>
        <d v="2015-01-03T00:00:00"/>
        <d v="2024-09-27T00:00:00"/>
        <d v="2024-11-14T00:00:00"/>
        <d v="2021-05-11T00:00:00"/>
        <d v="2021-04-13T00:00:00"/>
        <d v="2020-04-23T00:00:00"/>
        <d v="2016-06-13T00:00:00"/>
        <d v="2020-04-16T00:00:00"/>
        <d v="2018-10-20T00:00:00"/>
        <d v="2017-04-25T00:00:00"/>
        <d v="2019-12-20T00:00:00"/>
        <d v="2019-06-17T00:00:00"/>
        <d v="2017-11-12T00:00:00"/>
        <d v="2021-11-27T00:00:00"/>
        <d v="2018-08-04T00:00:00"/>
        <d v="2020-03-15T00:00:00"/>
        <d v="2018-01-22T00:00:00"/>
        <d v="2019-06-16T00:00:00"/>
        <d v="2015-08-05T00:00:00"/>
        <d v="2023-09-28T00:00:00"/>
        <d v="2021-11-06T00:00:00"/>
        <d v="2017-08-24T00:00:00"/>
        <d v="2018-05-30T00:00:00"/>
        <d v="2016-08-24T00:00:00"/>
        <d v="2024-06-05T00:00:00"/>
        <d v="2019-05-29T00:00:00"/>
        <d v="2015-06-05T00:00:00"/>
        <d v="2020-11-24T00:00:00"/>
        <d v="2022-01-07T00:00:00"/>
        <d v="2018-08-21T00:00:00"/>
        <d v="2016-09-27T00:00:00"/>
        <d v="2017-09-24T00:00:00"/>
        <d v="2016-06-29T00:00:00"/>
        <d v="2023-10-25T00:00:00"/>
        <d v="2015-10-20T00:00:00"/>
        <d v="2015-08-04T00:00:00"/>
        <d v="2024-11-16T00:00:00"/>
        <d v="2024-10-20T00:00:00"/>
        <d v="2015-06-07T00:00:00"/>
        <d v="2023-03-05T00:00:00"/>
        <d v="2020-06-13T00:00:00"/>
        <d v="2017-04-19T00:00:00"/>
        <d v="2019-06-12T00:00:00"/>
        <d v="2019-01-19T00:00:00"/>
        <d v="2020-10-03T00:00:00"/>
        <d v="2023-08-11T00:00:00"/>
        <d v="2021-06-07T00:00:00"/>
        <d v="2015-04-05T00:00:00"/>
        <d v="2020-01-09T00:00:00"/>
        <d v="2018-03-14T00:00:00"/>
        <d v="2023-12-02T00:00:00"/>
        <d v="2020-07-13T00:00:00"/>
        <d v="2024-02-03T00:00:00"/>
        <d v="2024-07-04T00:00:00"/>
        <d v="2016-08-02T00:00:00"/>
        <d v="2017-02-26T00:00:00"/>
        <d v="2021-10-30T00:00:00"/>
        <d v="2020-07-28T00:00:00"/>
        <d v="2018-10-21T00:00:00"/>
        <d v="2016-05-28T00:00:00"/>
        <d v="2021-10-11T00:00:00"/>
        <d v="2019-12-13T00:00:00"/>
        <d v="2023-01-06T00:00:00"/>
        <d v="2023-12-06T00:00:00"/>
        <d v="2023-05-24T00:00:00"/>
        <d v="2018-07-03T00:00:00"/>
        <d v="2019-05-06T00:00:00"/>
        <d v="2024-01-08T00:00:00"/>
        <d v="2022-12-11T00:00:00"/>
        <d v="2016-11-20T00:00:00"/>
        <d v="2019-08-06T00:00:00"/>
        <d v="2016-10-22T00:00:00"/>
        <d v="2019-04-02T00:00:00"/>
        <d v="2021-09-01T00:00:00"/>
        <d v="2016-09-05T00:00:00"/>
        <d v="2020-05-23T00:00:00"/>
        <d v="2018-12-09T00:00:00"/>
        <d v="2019-05-30T00:00:00"/>
        <d v="2019-11-20T00:00:00"/>
        <d v="2018-10-05T00:00:00"/>
        <d v="2020-10-24T00:00:00"/>
        <d v="2022-03-22T00:00:00"/>
        <d v="2018-09-12T00:00:00"/>
        <d v="2018-11-18T00:00:00"/>
        <d v="2022-03-15T00:00:00"/>
        <d v="2018-09-26T00:00:00"/>
        <d v="2015-04-11T00:00:00"/>
        <d v="2020-11-05T00:00:00"/>
        <d v="2019-04-30T00:00:00"/>
        <d v="2020-04-10T00:00:00"/>
        <d v="2016-02-15T00:00:00"/>
        <d v="2021-05-07T00:00:00"/>
        <d v="2022-01-04T00:00:00"/>
        <d v="2015-09-14T00:00:00"/>
        <d v="2021-08-25T00:00:00"/>
        <d v="2018-01-19T00:00:00"/>
        <d v="2018-06-21T00:00:00"/>
        <d v="2017-07-09T00:00:00"/>
        <d v="2019-12-05T00:00:00"/>
        <d v="2017-10-21T00:00:00"/>
        <d v="2022-06-23T00:00:00"/>
        <d v="2023-05-21T00:00:00"/>
        <d v="2017-12-22T00:00:00"/>
        <d v="2024-08-01T00:00:00"/>
        <d v="2016-11-09T00:00:00"/>
        <d v="2017-11-23T00:00:00"/>
        <d v="2017-02-10T00:00:00"/>
        <d v="2019-10-21T00:00:00"/>
        <d v="2021-12-03T00:00:00"/>
        <d v="2019-02-03T00:00:00"/>
        <d v="2020-09-06T00:00:00"/>
        <d v="2019-10-24T00:00:00"/>
        <d v="2020-08-11T00:00:00"/>
        <d v="2021-06-24T00:00:00"/>
        <d v="2017-03-30T00:00:00"/>
        <d v="2024-02-20T00:00:00"/>
        <d v="2020-04-09T00:00:00"/>
        <d v="2018-10-13T00:00:00"/>
        <d v="2021-10-22T00:00:00"/>
        <d v="2015-04-25T00:00:00"/>
        <d v="2024-10-08T00:00:00"/>
        <d v="2022-10-25T00:00:00"/>
        <d v="2023-03-29T00:00:00"/>
        <d v="2016-07-29T00:00:00"/>
        <d v="2021-10-08T00:00:00"/>
        <d v="2016-07-05T00:00:00"/>
        <d v="2017-01-13T00:00:00"/>
        <d v="2021-08-23T00:00:00"/>
        <d v="2024-08-20T00:00:00"/>
        <d v="2024-11-08T00:00:00"/>
        <d v="2016-05-13T00:00:00"/>
        <d v="2021-03-22T00:00:00"/>
        <d v="2016-05-25T00:00:00"/>
        <d v="2022-09-10T00:00:00"/>
        <d v="2020-07-05T00:00:00"/>
        <d v="2020-06-03T00:00:00"/>
        <d v="2019-04-04T00:00:00"/>
        <d v="2024-08-13T00:00:00"/>
        <d v="2022-04-13T00:00:00"/>
        <d v="2023-12-11T00:00:00"/>
        <d v="2021-09-29T00:00:00"/>
        <d v="2016-10-26T00:00:00"/>
        <d v="2021-09-13T00:00:00"/>
        <d v="2018-09-30T00:00:00"/>
        <d v="2016-10-12T00:00:00"/>
        <d v="2017-07-27T00:00:00"/>
        <d v="2020-11-22T00:00:00"/>
        <d v="2019-05-22T00:00:00"/>
        <d v="2021-05-25T00:00:00"/>
        <d v="2023-06-11T00:00:00"/>
        <d v="2016-04-14T00:00:00"/>
        <d v="2017-07-07T00:00:00"/>
        <d v="2022-04-15T00:00:00"/>
        <d v="2016-06-05T00:00:00"/>
        <d v="2017-08-29T00:00:00"/>
        <d v="2020-09-02T00:00:00"/>
        <d v="2017-05-15T00:00:00"/>
        <d v="2018-06-16T00:00:00"/>
        <d v="2022-11-27T00:00:00"/>
        <d v="2024-10-05T00:00:00"/>
        <d v="2018-12-21T00:00:00"/>
        <d v="2016-02-09T00:00:00"/>
        <d v="2019-05-27T00:00:00"/>
        <d v="2024-03-20T00:00:00"/>
        <d v="2023-09-16T00:00:00"/>
        <d v="2018-06-11T00:00:00"/>
        <d v="2023-07-12T00:00:00"/>
        <d v="2020-11-27T00:00:00"/>
        <d v="2017-02-23T00:00:00"/>
        <d v="2018-09-06T00:00:00"/>
        <d v="2021-11-30T00:00:00"/>
        <d v="2024-09-19T00:00:00"/>
        <d v="2020-05-08T00:00:00"/>
        <d v="2015-07-03T00:00:00"/>
        <d v="2016-01-08T00:00:00"/>
        <d v="2021-02-16T00:00:00"/>
        <d v="2017-08-20T00:00:00"/>
        <d v="2024-03-21T00:00:00"/>
        <d v="2021-01-02T00:00:00"/>
        <d v="2016-01-04T00:00:00"/>
        <d v="2023-04-11T00:00:00"/>
        <d v="2022-02-10T00:00:00"/>
        <d v="2024-08-23T00:00:00"/>
        <d v="2021-09-15T00:00:00"/>
        <d v="2016-06-08T00:00:00"/>
        <d v="2023-02-03T00:00:00"/>
        <d v="2016-10-29T00:00:00"/>
        <d v="2023-07-14T00:00:00"/>
        <d v="2024-10-02T00:00:00"/>
        <d v="2021-10-13T00:00:00"/>
        <d v="2021-08-04T00:00:00"/>
        <d v="2024-05-03T00:00:00"/>
        <d v="2017-07-24T00:00:00"/>
        <d v="2016-04-02T00:00:00"/>
        <d v="2020-06-15T00:00:00"/>
        <d v="2022-07-15T00:00:00"/>
        <d v="2024-01-13T00:00:00"/>
        <d v="2018-01-03T00:00:00"/>
        <d v="2022-05-28T00:00:00"/>
        <d v="2015-01-18T00:00:00"/>
        <d v="2016-09-21T00:00:00"/>
        <d v="2024-01-09T00:00:00"/>
        <d v="2023-09-13T00:00:00"/>
        <d v="2019-12-11T00:00:00"/>
        <d v="2017-10-24T00:00:00"/>
        <d v="2015-12-10T00:00:00"/>
        <d v="2015-11-11T00:00:00"/>
        <d v="2024-12-04T00:00:00"/>
        <d v="2024-07-22T00:00:00"/>
        <d v="2020-12-15T00:00:00"/>
        <d v="2017-12-13T00:00:00"/>
        <d v="2021-06-28T00:00:00"/>
        <d v="2024-10-14T00:00:00"/>
        <d v="2022-07-31T00:00:00"/>
        <d v="2021-03-14T00:00:00"/>
        <d v="2024-01-22T00:00:00"/>
        <d v="2019-06-26T00:00:00"/>
        <d v="2024-08-25T00:00:00"/>
        <d v="2020-09-22T00:00:00"/>
        <d v="2023-09-04T00:00:00"/>
        <d v="2016-08-29T00:00:00"/>
        <d v="2015-07-05T00:00:00"/>
        <d v="2024-06-28T00:00:00"/>
        <d v="2022-07-02T00:00:00"/>
        <d v="2024-09-03T00:00:00"/>
        <d v="2024-06-23T00:00:00"/>
        <d v="2023-07-05T00:00:00"/>
      </sharedItems>
    </cacheField>
    <cacheField name="Performance Score" numFmtId="0">
      <sharedItems containsSemiMixedTypes="0" containsString="0" containsNumber="1" containsInteger="1" minValue="0" maxValue="5" count="6">
        <n v="2"/>
        <n v="1"/>
        <n v="0"/>
        <n v="3"/>
        <n v="4"/>
        <n v="5"/>
      </sharedItems>
    </cacheField>
    <cacheField name="Experience" numFmtId="0">
      <sharedItems containsSemiMixedTypes="0" containsString="0" containsNumber="1" containsInteger="1" minValue="1" maxValue="20"/>
    </cacheField>
    <cacheField name="Position" numFmtId="0">
      <sharedItems count="5">
        <s v="Manager"/>
        <s v="Senior Level"/>
        <s v="Mid-Level"/>
        <s v="Consultant"/>
        <s v="Junior"/>
      </sharedItems>
    </cacheField>
    <cacheField name="Status" numFmtId="0">
      <sharedItems/>
    </cacheField>
    <cacheField name="Location" numFmtId="0">
      <sharedItems count="3">
        <s v="New York"/>
        <s v="Chicago"/>
        <s v="Los Angeles"/>
      </sharedItems>
    </cacheField>
    <cacheField name="Session" numFmtId="0">
      <sharedItems count="3">
        <s v="Night"/>
        <s v="Evening"/>
        <s v="Morning"/>
      </sharedItems>
    </cacheField>
  </cacheFields>
  <extLst>
    <ext xmlns:x14="http://schemas.microsoft.com/office/spreadsheetml/2009/9/main" uri="{725AE2AE-9491-48be-B2B4-4EB974FC3084}">
      <x14:pivotCacheDefinition pivotCacheId="1474843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
  <r>
    <n v="1"/>
    <s v="Cory Escobar"/>
    <n v="48"/>
    <x v="0"/>
    <x v="0"/>
    <x v="0"/>
    <n v="5641"/>
    <x v="0"/>
    <x v="0"/>
    <x v="0"/>
    <n v="16"/>
    <x v="0"/>
    <s v="Active"/>
    <x v="0"/>
    <x v="0"/>
  </r>
  <r>
    <n v="6"/>
    <s v="Ashley Howe"/>
    <n v="29"/>
    <x v="1"/>
    <x v="0"/>
    <x v="0"/>
    <n v="2591"/>
    <x v="1"/>
    <x v="1"/>
    <x v="1"/>
    <n v="6"/>
    <x v="1"/>
    <s v="Active"/>
    <x v="1"/>
    <x v="1"/>
  </r>
  <r>
    <n v="7"/>
    <s v="David Olson"/>
    <n v="39"/>
    <x v="2"/>
    <x v="0"/>
    <x v="1"/>
    <n v="6826"/>
    <x v="2"/>
    <x v="2"/>
    <x v="2"/>
    <n v="4"/>
    <x v="2"/>
    <s v="Active"/>
    <x v="0"/>
    <x v="0"/>
  </r>
  <r>
    <n v="10"/>
    <s v="Brian Faulkner"/>
    <n v="30"/>
    <x v="1"/>
    <x v="1"/>
    <x v="2"/>
    <n v="8202"/>
    <x v="3"/>
    <x v="3"/>
    <x v="1"/>
    <n v="9"/>
    <x v="3"/>
    <s v="Active"/>
    <x v="2"/>
    <x v="2"/>
  </r>
  <r>
    <n v="11"/>
    <s v="Nicole Bell"/>
    <n v="42"/>
    <x v="2"/>
    <x v="0"/>
    <x v="1"/>
    <n v="5336"/>
    <x v="0"/>
    <x v="4"/>
    <x v="3"/>
    <n v="7"/>
    <x v="1"/>
    <s v="Active"/>
    <x v="2"/>
    <x v="1"/>
  </r>
  <r>
    <n v="18"/>
    <s v="Jacqueline Randall"/>
    <n v="31"/>
    <x v="1"/>
    <x v="0"/>
    <x v="0"/>
    <n v="3519"/>
    <x v="1"/>
    <x v="5"/>
    <x v="4"/>
    <n v="6"/>
    <x v="1"/>
    <s v="Active"/>
    <x v="0"/>
    <x v="2"/>
  </r>
  <r>
    <n v="20"/>
    <s v="Victoria Fox"/>
    <n v="57"/>
    <x v="3"/>
    <x v="0"/>
    <x v="0"/>
    <n v="7251"/>
    <x v="2"/>
    <x v="6"/>
    <x v="2"/>
    <n v="10"/>
    <x v="3"/>
    <s v="Active"/>
    <x v="2"/>
    <x v="1"/>
  </r>
  <r>
    <n v="21"/>
    <s v="Heather Jones"/>
    <n v="35"/>
    <x v="2"/>
    <x v="1"/>
    <x v="1"/>
    <n v="4565"/>
    <x v="0"/>
    <x v="7"/>
    <x v="2"/>
    <n v="9"/>
    <x v="3"/>
    <s v="Active"/>
    <x v="1"/>
    <x v="0"/>
  </r>
  <r>
    <n v="24"/>
    <s v="Marissa Stewart"/>
    <n v="31"/>
    <x v="1"/>
    <x v="0"/>
    <x v="0"/>
    <n v="5386"/>
    <x v="0"/>
    <x v="8"/>
    <x v="2"/>
    <n v="3"/>
    <x v="2"/>
    <s v="Active"/>
    <x v="2"/>
    <x v="1"/>
  </r>
  <r>
    <n v="25"/>
    <s v="Tracy Carlson"/>
    <n v="21"/>
    <x v="4"/>
    <x v="1"/>
    <x v="0"/>
    <n v="9275"/>
    <x v="3"/>
    <x v="9"/>
    <x v="4"/>
    <n v="12"/>
    <x v="0"/>
    <s v="Active"/>
    <x v="0"/>
    <x v="2"/>
  </r>
  <r>
    <n v="34"/>
    <s v="Mr. Brian Nelson"/>
    <n v="42"/>
    <x v="2"/>
    <x v="0"/>
    <x v="2"/>
    <n v="5207"/>
    <x v="0"/>
    <x v="10"/>
    <x v="1"/>
    <n v="4"/>
    <x v="2"/>
    <s v="Active"/>
    <x v="2"/>
    <x v="0"/>
  </r>
  <r>
    <n v="37"/>
    <s v="Jacqueline Moore"/>
    <n v="39"/>
    <x v="2"/>
    <x v="1"/>
    <x v="1"/>
    <n v="2364"/>
    <x v="1"/>
    <x v="11"/>
    <x v="1"/>
    <n v="15"/>
    <x v="0"/>
    <s v="Active"/>
    <x v="2"/>
    <x v="1"/>
  </r>
  <r>
    <n v="40"/>
    <s v="Lisa Wagner"/>
    <n v="36"/>
    <x v="2"/>
    <x v="1"/>
    <x v="0"/>
    <n v="8870"/>
    <x v="3"/>
    <x v="12"/>
    <x v="4"/>
    <n v="17"/>
    <x v="0"/>
    <s v="Active"/>
    <x v="2"/>
    <x v="1"/>
  </r>
  <r>
    <n v="44"/>
    <s v="Cindy Nichols"/>
    <n v="64"/>
    <x v="3"/>
    <x v="0"/>
    <x v="2"/>
    <n v="2427"/>
    <x v="1"/>
    <x v="13"/>
    <x v="2"/>
    <n v="6"/>
    <x v="1"/>
    <s v="Active"/>
    <x v="0"/>
    <x v="0"/>
  </r>
  <r>
    <n v="49"/>
    <s v="Jamie Wood"/>
    <n v="46"/>
    <x v="0"/>
    <x v="1"/>
    <x v="1"/>
    <n v="2773"/>
    <x v="1"/>
    <x v="14"/>
    <x v="4"/>
    <n v="9"/>
    <x v="3"/>
    <s v="Active"/>
    <x v="0"/>
    <x v="2"/>
  </r>
  <r>
    <n v="50"/>
    <s v="Valerie Guerrero"/>
    <n v="23"/>
    <x v="4"/>
    <x v="1"/>
    <x v="0"/>
    <n v="6253"/>
    <x v="2"/>
    <x v="15"/>
    <x v="4"/>
    <n v="14"/>
    <x v="0"/>
    <s v="Active"/>
    <x v="2"/>
    <x v="0"/>
  </r>
  <r>
    <n v="58"/>
    <s v="Johnathan Obrien"/>
    <n v="58"/>
    <x v="3"/>
    <x v="0"/>
    <x v="1"/>
    <n v="3635"/>
    <x v="1"/>
    <x v="16"/>
    <x v="2"/>
    <n v="7"/>
    <x v="1"/>
    <s v="Active"/>
    <x v="0"/>
    <x v="0"/>
  </r>
  <r>
    <n v="59"/>
    <s v="Erik Moss"/>
    <n v="57"/>
    <x v="3"/>
    <x v="1"/>
    <x v="1"/>
    <n v="4651"/>
    <x v="0"/>
    <x v="7"/>
    <x v="2"/>
    <n v="19"/>
    <x v="0"/>
    <s v="Active"/>
    <x v="2"/>
    <x v="0"/>
  </r>
  <r>
    <n v="62"/>
    <s v="Carmen Taylor"/>
    <n v="33"/>
    <x v="1"/>
    <x v="1"/>
    <x v="1"/>
    <n v="2851"/>
    <x v="1"/>
    <x v="17"/>
    <x v="0"/>
    <n v="11"/>
    <x v="3"/>
    <s v="Active"/>
    <x v="1"/>
    <x v="2"/>
  </r>
  <r>
    <n v="63"/>
    <s v="Joseph Anderson"/>
    <n v="57"/>
    <x v="3"/>
    <x v="0"/>
    <x v="2"/>
    <n v="3933"/>
    <x v="1"/>
    <x v="18"/>
    <x v="2"/>
    <n v="6"/>
    <x v="1"/>
    <s v="Active"/>
    <x v="2"/>
    <x v="0"/>
  </r>
  <r>
    <n v="64"/>
    <s v="Katherine Clark"/>
    <n v="39"/>
    <x v="2"/>
    <x v="0"/>
    <x v="2"/>
    <n v="2585"/>
    <x v="1"/>
    <x v="19"/>
    <x v="0"/>
    <n v="1"/>
    <x v="4"/>
    <s v="Active"/>
    <x v="2"/>
    <x v="1"/>
  </r>
  <r>
    <n v="67"/>
    <s v="Kelli Lopez"/>
    <n v="25"/>
    <x v="1"/>
    <x v="0"/>
    <x v="0"/>
    <n v="7637"/>
    <x v="2"/>
    <x v="20"/>
    <x v="2"/>
    <n v="4"/>
    <x v="2"/>
    <s v="Active"/>
    <x v="2"/>
    <x v="0"/>
  </r>
  <r>
    <n v="68"/>
    <s v="Denise Smith"/>
    <n v="27"/>
    <x v="1"/>
    <x v="1"/>
    <x v="0"/>
    <n v="6921"/>
    <x v="2"/>
    <x v="21"/>
    <x v="0"/>
    <n v="3"/>
    <x v="2"/>
    <s v="Active"/>
    <x v="1"/>
    <x v="1"/>
  </r>
  <r>
    <n v="69"/>
    <s v="Alyssa Taylor"/>
    <n v="29"/>
    <x v="1"/>
    <x v="1"/>
    <x v="0"/>
    <n v="7554"/>
    <x v="2"/>
    <x v="22"/>
    <x v="2"/>
    <n v="17"/>
    <x v="0"/>
    <s v="Active"/>
    <x v="1"/>
    <x v="0"/>
  </r>
  <r>
    <n v="71"/>
    <s v="Daniel Hamilton"/>
    <n v="40"/>
    <x v="2"/>
    <x v="1"/>
    <x v="1"/>
    <n v="2466"/>
    <x v="1"/>
    <x v="23"/>
    <x v="2"/>
    <n v="15"/>
    <x v="0"/>
    <s v="Active"/>
    <x v="1"/>
    <x v="1"/>
  </r>
  <r>
    <n v="72"/>
    <s v="Tiffany Alexander"/>
    <n v="45"/>
    <x v="0"/>
    <x v="0"/>
    <x v="1"/>
    <n v="3897"/>
    <x v="1"/>
    <x v="24"/>
    <x v="4"/>
    <n v="12"/>
    <x v="0"/>
    <s v="Active"/>
    <x v="1"/>
    <x v="1"/>
  </r>
  <r>
    <n v="73"/>
    <s v="Jennifer Carter"/>
    <n v="52"/>
    <x v="0"/>
    <x v="1"/>
    <x v="0"/>
    <n v="8386"/>
    <x v="3"/>
    <x v="25"/>
    <x v="2"/>
    <n v="14"/>
    <x v="0"/>
    <s v="Active"/>
    <x v="1"/>
    <x v="2"/>
  </r>
  <r>
    <n v="77"/>
    <s v="Victor Nelson"/>
    <n v="47"/>
    <x v="0"/>
    <x v="0"/>
    <x v="1"/>
    <n v="2025"/>
    <x v="1"/>
    <x v="26"/>
    <x v="1"/>
    <n v="5"/>
    <x v="1"/>
    <s v="Active"/>
    <x v="0"/>
    <x v="0"/>
  </r>
  <r>
    <n v="82"/>
    <s v="Kevin Price"/>
    <n v="62"/>
    <x v="3"/>
    <x v="1"/>
    <x v="0"/>
    <n v="4292"/>
    <x v="0"/>
    <x v="27"/>
    <x v="0"/>
    <n v="7"/>
    <x v="1"/>
    <s v="Active"/>
    <x v="2"/>
    <x v="0"/>
  </r>
  <r>
    <n v="84"/>
    <s v="Elaine Payne"/>
    <n v="18"/>
    <x v="4"/>
    <x v="0"/>
    <x v="2"/>
    <n v="5470"/>
    <x v="0"/>
    <x v="28"/>
    <x v="3"/>
    <n v="8"/>
    <x v="3"/>
    <s v="Active"/>
    <x v="2"/>
    <x v="1"/>
  </r>
  <r>
    <n v="88"/>
    <s v="Lori Bowen"/>
    <n v="28"/>
    <x v="1"/>
    <x v="0"/>
    <x v="1"/>
    <n v="6839"/>
    <x v="2"/>
    <x v="29"/>
    <x v="2"/>
    <n v="4"/>
    <x v="2"/>
    <s v="Active"/>
    <x v="2"/>
    <x v="1"/>
  </r>
  <r>
    <n v="91"/>
    <s v="Kyle Schwartz"/>
    <n v="31"/>
    <x v="1"/>
    <x v="1"/>
    <x v="0"/>
    <n v="3488"/>
    <x v="1"/>
    <x v="30"/>
    <x v="1"/>
    <n v="3"/>
    <x v="2"/>
    <s v="Active"/>
    <x v="0"/>
    <x v="2"/>
  </r>
  <r>
    <n v="94"/>
    <s v="Elizabeth Gallagher"/>
    <n v="21"/>
    <x v="4"/>
    <x v="0"/>
    <x v="2"/>
    <n v="2860"/>
    <x v="1"/>
    <x v="31"/>
    <x v="4"/>
    <n v="4"/>
    <x v="2"/>
    <s v="Active"/>
    <x v="2"/>
    <x v="0"/>
  </r>
  <r>
    <n v="95"/>
    <s v="Michael Garcia"/>
    <n v="62"/>
    <x v="3"/>
    <x v="1"/>
    <x v="1"/>
    <n v="3482"/>
    <x v="1"/>
    <x v="32"/>
    <x v="3"/>
    <n v="20"/>
    <x v="0"/>
    <s v="Active"/>
    <x v="0"/>
    <x v="0"/>
  </r>
  <r>
    <n v="101"/>
    <s v="Bryan Navarro"/>
    <n v="26"/>
    <x v="1"/>
    <x v="0"/>
    <x v="2"/>
    <n v="9538"/>
    <x v="3"/>
    <x v="33"/>
    <x v="2"/>
    <n v="3"/>
    <x v="2"/>
    <s v="Active"/>
    <x v="0"/>
    <x v="2"/>
  </r>
  <r>
    <n v="104"/>
    <s v="Jose Henson"/>
    <n v="32"/>
    <x v="1"/>
    <x v="1"/>
    <x v="0"/>
    <n v="6458"/>
    <x v="2"/>
    <x v="34"/>
    <x v="5"/>
    <n v="7"/>
    <x v="1"/>
    <s v="Active"/>
    <x v="1"/>
    <x v="1"/>
  </r>
  <r>
    <n v="105"/>
    <s v="Isaiah Sanders DDS"/>
    <n v="31"/>
    <x v="1"/>
    <x v="0"/>
    <x v="0"/>
    <n v="2752"/>
    <x v="1"/>
    <x v="35"/>
    <x v="5"/>
    <n v="6"/>
    <x v="1"/>
    <s v="Active"/>
    <x v="1"/>
    <x v="0"/>
  </r>
  <r>
    <n v="108"/>
    <s v="Sandra Allen"/>
    <n v="24"/>
    <x v="4"/>
    <x v="1"/>
    <x v="2"/>
    <n v="2578"/>
    <x v="1"/>
    <x v="36"/>
    <x v="5"/>
    <n v="16"/>
    <x v="0"/>
    <s v="Active"/>
    <x v="1"/>
    <x v="2"/>
  </r>
  <r>
    <n v="109"/>
    <s v="Mrs. Robin Mccarthy PhD"/>
    <n v="51"/>
    <x v="0"/>
    <x v="1"/>
    <x v="0"/>
    <n v="7457"/>
    <x v="2"/>
    <x v="37"/>
    <x v="2"/>
    <n v="15"/>
    <x v="0"/>
    <s v="Active"/>
    <x v="2"/>
    <x v="0"/>
  </r>
  <r>
    <n v="110"/>
    <s v="Catherine Ray"/>
    <n v="58"/>
    <x v="3"/>
    <x v="0"/>
    <x v="1"/>
    <n v="7263"/>
    <x v="2"/>
    <x v="38"/>
    <x v="2"/>
    <n v="20"/>
    <x v="0"/>
    <s v="Active"/>
    <x v="0"/>
    <x v="2"/>
  </r>
  <r>
    <n v="120"/>
    <s v="Heidi Franklin"/>
    <n v="22"/>
    <x v="4"/>
    <x v="1"/>
    <x v="0"/>
    <n v="7187"/>
    <x v="2"/>
    <x v="39"/>
    <x v="2"/>
    <n v="1"/>
    <x v="4"/>
    <s v="Active"/>
    <x v="0"/>
    <x v="2"/>
  </r>
  <r>
    <n v="122"/>
    <s v="Jacob Gonzalez"/>
    <n v="25"/>
    <x v="1"/>
    <x v="1"/>
    <x v="2"/>
    <n v="5121"/>
    <x v="0"/>
    <x v="40"/>
    <x v="2"/>
    <n v="1"/>
    <x v="4"/>
    <s v="Active"/>
    <x v="1"/>
    <x v="0"/>
  </r>
  <r>
    <n v="124"/>
    <s v="Amber Pittman"/>
    <n v="24"/>
    <x v="4"/>
    <x v="0"/>
    <x v="1"/>
    <n v="5287"/>
    <x v="0"/>
    <x v="41"/>
    <x v="0"/>
    <n v="1"/>
    <x v="4"/>
    <s v="Active"/>
    <x v="0"/>
    <x v="1"/>
  </r>
  <r>
    <n v="125"/>
    <s v="William Hall"/>
    <n v="23"/>
    <x v="4"/>
    <x v="1"/>
    <x v="1"/>
    <n v="3754"/>
    <x v="1"/>
    <x v="42"/>
    <x v="2"/>
    <n v="8"/>
    <x v="3"/>
    <s v="Active"/>
    <x v="1"/>
    <x v="1"/>
  </r>
  <r>
    <n v="138"/>
    <s v="Annette Peterson"/>
    <n v="34"/>
    <x v="1"/>
    <x v="0"/>
    <x v="1"/>
    <n v="4286"/>
    <x v="0"/>
    <x v="43"/>
    <x v="2"/>
    <n v="7"/>
    <x v="1"/>
    <s v="Active"/>
    <x v="1"/>
    <x v="2"/>
  </r>
  <r>
    <n v="152"/>
    <s v="Julie Wilson"/>
    <n v="58"/>
    <x v="3"/>
    <x v="1"/>
    <x v="1"/>
    <n v="2621"/>
    <x v="1"/>
    <x v="44"/>
    <x v="2"/>
    <n v="16"/>
    <x v="0"/>
    <s v="Active"/>
    <x v="0"/>
    <x v="1"/>
  </r>
  <r>
    <n v="157"/>
    <s v="Pamela Pierce"/>
    <n v="43"/>
    <x v="2"/>
    <x v="0"/>
    <x v="0"/>
    <n v="4710"/>
    <x v="0"/>
    <x v="45"/>
    <x v="1"/>
    <n v="16"/>
    <x v="0"/>
    <s v="Active"/>
    <x v="0"/>
    <x v="0"/>
  </r>
  <r>
    <n v="160"/>
    <s v="Thomas Gordon"/>
    <n v="26"/>
    <x v="1"/>
    <x v="1"/>
    <x v="0"/>
    <n v="6157"/>
    <x v="2"/>
    <x v="46"/>
    <x v="2"/>
    <n v="15"/>
    <x v="0"/>
    <s v="Active"/>
    <x v="0"/>
    <x v="0"/>
  </r>
  <r>
    <n v="163"/>
    <s v="Emily Hughes"/>
    <n v="32"/>
    <x v="1"/>
    <x v="1"/>
    <x v="2"/>
    <n v="8958"/>
    <x v="3"/>
    <x v="47"/>
    <x v="2"/>
    <n v="17"/>
    <x v="0"/>
    <s v="Active"/>
    <x v="2"/>
    <x v="2"/>
  </r>
  <r>
    <n v="168"/>
    <s v="Amy Bell"/>
    <n v="56"/>
    <x v="3"/>
    <x v="1"/>
    <x v="2"/>
    <n v="6006"/>
    <x v="2"/>
    <x v="48"/>
    <x v="2"/>
    <n v="4"/>
    <x v="2"/>
    <s v="Active"/>
    <x v="0"/>
    <x v="2"/>
  </r>
  <r>
    <n v="171"/>
    <s v="Tyler Figueroa"/>
    <n v="48"/>
    <x v="0"/>
    <x v="0"/>
    <x v="1"/>
    <n v="2913"/>
    <x v="1"/>
    <x v="49"/>
    <x v="0"/>
    <n v="6"/>
    <x v="1"/>
    <s v="Active"/>
    <x v="0"/>
    <x v="1"/>
  </r>
  <r>
    <n v="176"/>
    <s v="Cody Sanchez"/>
    <n v="32"/>
    <x v="1"/>
    <x v="0"/>
    <x v="1"/>
    <n v="5224"/>
    <x v="0"/>
    <x v="50"/>
    <x v="2"/>
    <n v="15"/>
    <x v="0"/>
    <s v="Active"/>
    <x v="2"/>
    <x v="1"/>
  </r>
  <r>
    <n v="178"/>
    <s v="David Buchanan"/>
    <n v="52"/>
    <x v="0"/>
    <x v="1"/>
    <x v="1"/>
    <n v="8899"/>
    <x v="3"/>
    <x v="51"/>
    <x v="2"/>
    <n v="17"/>
    <x v="0"/>
    <s v="Active"/>
    <x v="1"/>
    <x v="1"/>
  </r>
  <r>
    <n v="181"/>
    <s v="Sharon Patterson"/>
    <n v="33"/>
    <x v="1"/>
    <x v="1"/>
    <x v="0"/>
    <n v="6833"/>
    <x v="2"/>
    <x v="52"/>
    <x v="2"/>
    <n v="16"/>
    <x v="0"/>
    <s v="Active"/>
    <x v="0"/>
    <x v="0"/>
  </r>
  <r>
    <n v="183"/>
    <s v="Linda Wilson"/>
    <n v="45"/>
    <x v="0"/>
    <x v="1"/>
    <x v="2"/>
    <n v="3979"/>
    <x v="1"/>
    <x v="53"/>
    <x v="3"/>
    <n v="12"/>
    <x v="0"/>
    <s v="Active"/>
    <x v="0"/>
    <x v="1"/>
  </r>
  <r>
    <n v="184"/>
    <s v="Nathaniel Miller"/>
    <n v="22"/>
    <x v="4"/>
    <x v="1"/>
    <x v="1"/>
    <n v="8840"/>
    <x v="3"/>
    <x v="54"/>
    <x v="2"/>
    <n v="17"/>
    <x v="0"/>
    <s v="Active"/>
    <x v="0"/>
    <x v="1"/>
  </r>
  <r>
    <n v="187"/>
    <s v="Anthony Lucas"/>
    <n v="48"/>
    <x v="0"/>
    <x v="0"/>
    <x v="0"/>
    <n v="3064"/>
    <x v="1"/>
    <x v="55"/>
    <x v="4"/>
    <n v="11"/>
    <x v="3"/>
    <s v="Active"/>
    <x v="0"/>
    <x v="1"/>
  </r>
  <r>
    <n v="190"/>
    <s v="Tiffany Hopkins"/>
    <n v="21"/>
    <x v="4"/>
    <x v="0"/>
    <x v="0"/>
    <n v="7708"/>
    <x v="2"/>
    <x v="56"/>
    <x v="2"/>
    <n v="20"/>
    <x v="0"/>
    <s v="Active"/>
    <x v="2"/>
    <x v="0"/>
  </r>
  <r>
    <n v="191"/>
    <s v="Miguel Finley"/>
    <n v="25"/>
    <x v="1"/>
    <x v="0"/>
    <x v="2"/>
    <n v="9374"/>
    <x v="3"/>
    <x v="57"/>
    <x v="2"/>
    <n v="15"/>
    <x v="0"/>
    <s v="Active"/>
    <x v="0"/>
    <x v="1"/>
  </r>
  <r>
    <n v="195"/>
    <s v="Eric York"/>
    <n v="34"/>
    <x v="1"/>
    <x v="1"/>
    <x v="0"/>
    <n v="3397"/>
    <x v="1"/>
    <x v="58"/>
    <x v="4"/>
    <n v="2"/>
    <x v="4"/>
    <s v="Active"/>
    <x v="2"/>
    <x v="1"/>
  </r>
  <r>
    <n v="197"/>
    <s v="Joshua Booker"/>
    <n v="22"/>
    <x v="4"/>
    <x v="1"/>
    <x v="0"/>
    <n v="6539"/>
    <x v="2"/>
    <x v="59"/>
    <x v="2"/>
    <n v="2"/>
    <x v="4"/>
    <s v="Active"/>
    <x v="2"/>
    <x v="0"/>
  </r>
  <r>
    <n v="198"/>
    <s v="Mary King"/>
    <n v="23"/>
    <x v="4"/>
    <x v="0"/>
    <x v="0"/>
    <n v="3175"/>
    <x v="1"/>
    <x v="60"/>
    <x v="2"/>
    <n v="9"/>
    <x v="3"/>
    <s v="Active"/>
    <x v="0"/>
    <x v="1"/>
  </r>
  <r>
    <n v="201"/>
    <s v="Mr. James Johnson"/>
    <n v="48"/>
    <x v="0"/>
    <x v="0"/>
    <x v="0"/>
    <n v="9930"/>
    <x v="3"/>
    <x v="61"/>
    <x v="5"/>
    <n v="19"/>
    <x v="0"/>
    <s v="Active"/>
    <x v="1"/>
    <x v="2"/>
  </r>
  <r>
    <n v="204"/>
    <s v="Randy Pace"/>
    <n v="28"/>
    <x v="1"/>
    <x v="1"/>
    <x v="0"/>
    <n v="8416"/>
    <x v="3"/>
    <x v="62"/>
    <x v="2"/>
    <n v="8"/>
    <x v="3"/>
    <s v="Active"/>
    <x v="2"/>
    <x v="2"/>
  </r>
  <r>
    <n v="206"/>
    <s v="Julie Hayden"/>
    <n v="55"/>
    <x v="3"/>
    <x v="0"/>
    <x v="2"/>
    <n v="2127"/>
    <x v="1"/>
    <x v="63"/>
    <x v="2"/>
    <n v="8"/>
    <x v="3"/>
    <s v="Active"/>
    <x v="2"/>
    <x v="1"/>
  </r>
  <r>
    <n v="207"/>
    <s v="Mario Jackson"/>
    <n v="43"/>
    <x v="2"/>
    <x v="1"/>
    <x v="2"/>
    <n v="8563"/>
    <x v="3"/>
    <x v="64"/>
    <x v="4"/>
    <n v="11"/>
    <x v="3"/>
    <s v="Active"/>
    <x v="2"/>
    <x v="0"/>
  </r>
  <r>
    <n v="208"/>
    <s v="Dawn Flowers"/>
    <n v="24"/>
    <x v="4"/>
    <x v="0"/>
    <x v="2"/>
    <n v="7539"/>
    <x v="2"/>
    <x v="65"/>
    <x v="2"/>
    <n v="5"/>
    <x v="1"/>
    <s v="Active"/>
    <x v="2"/>
    <x v="0"/>
  </r>
  <r>
    <n v="215"/>
    <s v="Dawn Nelson"/>
    <n v="65"/>
    <x v="3"/>
    <x v="0"/>
    <x v="2"/>
    <n v="4538"/>
    <x v="0"/>
    <x v="66"/>
    <x v="3"/>
    <n v="8"/>
    <x v="3"/>
    <s v="Active"/>
    <x v="1"/>
    <x v="2"/>
  </r>
  <r>
    <n v="216"/>
    <s v="Sara Jones"/>
    <n v="50"/>
    <x v="0"/>
    <x v="0"/>
    <x v="1"/>
    <n v="9377"/>
    <x v="3"/>
    <x v="67"/>
    <x v="2"/>
    <n v="3"/>
    <x v="2"/>
    <s v="Active"/>
    <x v="2"/>
    <x v="2"/>
  </r>
  <r>
    <n v="218"/>
    <s v="Jeffery Hurley"/>
    <n v="25"/>
    <x v="1"/>
    <x v="1"/>
    <x v="2"/>
    <n v="7335"/>
    <x v="2"/>
    <x v="68"/>
    <x v="1"/>
    <n v="3"/>
    <x v="2"/>
    <s v="Active"/>
    <x v="2"/>
    <x v="0"/>
  </r>
  <r>
    <n v="223"/>
    <s v="Jennifer Hartman"/>
    <n v="62"/>
    <x v="3"/>
    <x v="0"/>
    <x v="2"/>
    <n v="7732"/>
    <x v="2"/>
    <x v="69"/>
    <x v="2"/>
    <n v="18"/>
    <x v="0"/>
    <s v="Active"/>
    <x v="0"/>
    <x v="2"/>
  </r>
  <r>
    <n v="229"/>
    <s v="Christie Warren"/>
    <n v="51"/>
    <x v="0"/>
    <x v="0"/>
    <x v="1"/>
    <n v="9139"/>
    <x v="3"/>
    <x v="70"/>
    <x v="5"/>
    <n v="1"/>
    <x v="4"/>
    <s v="Active"/>
    <x v="1"/>
    <x v="0"/>
  </r>
  <r>
    <n v="230"/>
    <s v="Monica Henderson"/>
    <n v="39"/>
    <x v="2"/>
    <x v="1"/>
    <x v="2"/>
    <n v="7250"/>
    <x v="2"/>
    <x v="71"/>
    <x v="4"/>
    <n v="1"/>
    <x v="4"/>
    <s v="Active"/>
    <x v="1"/>
    <x v="2"/>
  </r>
  <r>
    <n v="232"/>
    <s v="William Harris"/>
    <n v="26"/>
    <x v="1"/>
    <x v="0"/>
    <x v="1"/>
    <n v="6975"/>
    <x v="2"/>
    <x v="72"/>
    <x v="2"/>
    <n v="14"/>
    <x v="0"/>
    <s v="Active"/>
    <x v="0"/>
    <x v="1"/>
  </r>
  <r>
    <n v="233"/>
    <s v="Michelle Mendez"/>
    <n v="50"/>
    <x v="0"/>
    <x v="1"/>
    <x v="2"/>
    <n v="8718"/>
    <x v="3"/>
    <x v="73"/>
    <x v="1"/>
    <n v="18"/>
    <x v="0"/>
    <s v="Active"/>
    <x v="1"/>
    <x v="2"/>
  </r>
  <r>
    <n v="240"/>
    <s v="Christina Gutierrez"/>
    <n v="37"/>
    <x v="2"/>
    <x v="1"/>
    <x v="1"/>
    <n v="9356"/>
    <x v="3"/>
    <x v="74"/>
    <x v="3"/>
    <n v="3"/>
    <x v="2"/>
    <s v="Active"/>
    <x v="1"/>
    <x v="2"/>
  </r>
  <r>
    <n v="246"/>
    <s v="Marie Reese"/>
    <n v="60"/>
    <x v="3"/>
    <x v="1"/>
    <x v="1"/>
    <n v="7911"/>
    <x v="2"/>
    <x v="75"/>
    <x v="2"/>
    <n v="7"/>
    <x v="1"/>
    <s v="Active"/>
    <x v="1"/>
    <x v="1"/>
  </r>
  <r>
    <n v="249"/>
    <s v="Tyler Carter"/>
    <n v="65"/>
    <x v="3"/>
    <x v="0"/>
    <x v="2"/>
    <n v="8882"/>
    <x v="3"/>
    <x v="76"/>
    <x v="2"/>
    <n v="2"/>
    <x v="4"/>
    <s v="Active"/>
    <x v="0"/>
    <x v="2"/>
  </r>
  <r>
    <n v="250"/>
    <s v="David Burke"/>
    <n v="25"/>
    <x v="1"/>
    <x v="0"/>
    <x v="0"/>
    <n v="2994"/>
    <x v="1"/>
    <x v="77"/>
    <x v="2"/>
    <n v="14"/>
    <x v="0"/>
    <s v="Active"/>
    <x v="1"/>
    <x v="2"/>
  </r>
  <r>
    <n v="253"/>
    <s v="Christine Duran"/>
    <n v="61"/>
    <x v="3"/>
    <x v="1"/>
    <x v="2"/>
    <n v="3063"/>
    <x v="1"/>
    <x v="78"/>
    <x v="1"/>
    <n v="4"/>
    <x v="2"/>
    <s v="Active"/>
    <x v="0"/>
    <x v="2"/>
  </r>
  <r>
    <n v="255"/>
    <s v="Susan Fisher"/>
    <n v="45"/>
    <x v="0"/>
    <x v="1"/>
    <x v="0"/>
    <n v="9207"/>
    <x v="3"/>
    <x v="79"/>
    <x v="4"/>
    <n v="4"/>
    <x v="2"/>
    <s v="Active"/>
    <x v="2"/>
    <x v="2"/>
  </r>
  <r>
    <n v="257"/>
    <s v="Jeffery Jackson"/>
    <n v="19"/>
    <x v="4"/>
    <x v="0"/>
    <x v="2"/>
    <n v="4084"/>
    <x v="0"/>
    <x v="80"/>
    <x v="3"/>
    <n v="7"/>
    <x v="1"/>
    <s v="Active"/>
    <x v="2"/>
    <x v="0"/>
  </r>
  <r>
    <n v="261"/>
    <s v="Stephen Mitchell"/>
    <n v="52"/>
    <x v="0"/>
    <x v="0"/>
    <x v="2"/>
    <n v="4322"/>
    <x v="0"/>
    <x v="81"/>
    <x v="3"/>
    <n v="4"/>
    <x v="2"/>
    <s v="Active"/>
    <x v="0"/>
    <x v="0"/>
  </r>
  <r>
    <n v="263"/>
    <s v="James Hines"/>
    <n v="58"/>
    <x v="3"/>
    <x v="1"/>
    <x v="2"/>
    <n v="3439"/>
    <x v="1"/>
    <x v="82"/>
    <x v="2"/>
    <n v="16"/>
    <x v="0"/>
    <s v="Active"/>
    <x v="2"/>
    <x v="1"/>
  </r>
  <r>
    <n v="267"/>
    <s v="Jared Villanueva"/>
    <n v="50"/>
    <x v="0"/>
    <x v="1"/>
    <x v="2"/>
    <n v="5970"/>
    <x v="0"/>
    <x v="83"/>
    <x v="0"/>
    <n v="4"/>
    <x v="2"/>
    <s v="Active"/>
    <x v="0"/>
    <x v="2"/>
  </r>
  <r>
    <n v="275"/>
    <s v="Mrs. Kimberly Woodard MD"/>
    <n v="48"/>
    <x v="0"/>
    <x v="0"/>
    <x v="1"/>
    <n v="7287"/>
    <x v="2"/>
    <x v="84"/>
    <x v="1"/>
    <n v="9"/>
    <x v="3"/>
    <s v="Active"/>
    <x v="2"/>
    <x v="0"/>
  </r>
  <r>
    <n v="276"/>
    <s v="Harry Alexander"/>
    <n v="22"/>
    <x v="4"/>
    <x v="1"/>
    <x v="1"/>
    <n v="9749"/>
    <x v="3"/>
    <x v="85"/>
    <x v="2"/>
    <n v="5"/>
    <x v="1"/>
    <s v="Active"/>
    <x v="2"/>
    <x v="2"/>
  </r>
  <r>
    <n v="277"/>
    <s v="David Cox"/>
    <n v="45"/>
    <x v="0"/>
    <x v="0"/>
    <x v="2"/>
    <n v="4514"/>
    <x v="0"/>
    <x v="86"/>
    <x v="4"/>
    <n v="2"/>
    <x v="4"/>
    <s v="Active"/>
    <x v="2"/>
    <x v="2"/>
  </r>
  <r>
    <n v="279"/>
    <s v="Michael Bishop"/>
    <n v="49"/>
    <x v="0"/>
    <x v="1"/>
    <x v="2"/>
    <n v="7561"/>
    <x v="2"/>
    <x v="87"/>
    <x v="2"/>
    <n v="14"/>
    <x v="0"/>
    <s v="Active"/>
    <x v="1"/>
    <x v="1"/>
  </r>
  <r>
    <n v="284"/>
    <s v="Richard Smith"/>
    <n v="18"/>
    <x v="4"/>
    <x v="1"/>
    <x v="1"/>
    <n v="2364"/>
    <x v="1"/>
    <x v="88"/>
    <x v="0"/>
    <n v="12"/>
    <x v="0"/>
    <s v="Active"/>
    <x v="2"/>
    <x v="2"/>
  </r>
  <r>
    <n v="298"/>
    <s v="Brandon Atkinson"/>
    <n v="55"/>
    <x v="3"/>
    <x v="0"/>
    <x v="1"/>
    <n v="2414"/>
    <x v="1"/>
    <x v="89"/>
    <x v="3"/>
    <n v="4"/>
    <x v="2"/>
    <s v="Active"/>
    <x v="1"/>
    <x v="0"/>
  </r>
  <r>
    <n v="301"/>
    <s v="Alejandro Bennett"/>
    <n v="31"/>
    <x v="1"/>
    <x v="0"/>
    <x v="0"/>
    <n v="7039"/>
    <x v="2"/>
    <x v="90"/>
    <x v="2"/>
    <n v="18"/>
    <x v="0"/>
    <s v="Active"/>
    <x v="1"/>
    <x v="1"/>
  </r>
  <r>
    <n v="302"/>
    <s v="Patricia Williams"/>
    <n v="26"/>
    <x v="1"/>
    <x v="0"/>
    <x v="1"/>
    <n v="8385"/>
    <x v="3"/>
    <x v="91"/>
    <x v="2"/>
    <n v="15"/>
    <x v="0"/>
    <s v="Active"/>
    <x v="0"/>
    <x v="1"/>
  </r>
  <r>
    <n v="310"/>
    <s v="Abigail Rodriguez"/>
    <n v="33"/>
    <x v="1"/>
    <x v="0"/>
    <x v="1"/>
    <n v="3636"/>
    <x v="1"/>
    <x v="92"/>
    <x v="4"/>
    <n v="7"/>
    <x v="1"/>
    <s v="Active"/>
    <x v="1"/>
    <x v="2"/>
  </r>
  <r>
    <n v="313"/>
    <s v="Sean Barrett"/>
    <n v="26"/>
    <x v="1"/>
    <x v="0"/>
    <x v="1"/>
    <n v="3495"/>
    <x v="1"/>
    <x v="93"/>
    <x v="1"/>
    <n v="18"/>
    <x v="0"/>
    <s v="Active"/>
    <x v="2"/>
    <x v="0"/>
  </r>
  <r>
    <n v="319"/>
    <s v="Brent Montes"/>
    <n v="61"/>
    <x v="3"/>
    <x v="0"/>
    <x v="1"/>
    <n v="7087"/>
    <x v="2"/>
    <x v="94"/>
    <x v="0"/>
    <n v="11"/>
    <x v="3"/>
    <s v="Active"/>
    <x v="2"/>
    <x v="0"/>
  </r>
  <r>
    <n v="324"/>
    <s v="Anthony Lam"/>
    <n v="46"/>
    <x v="0"/>
    <x v="1"/>
    <x v="0"/>
    <n v="8306"/>
    <x v="3"/>
    <x v="95"/>
    <x v="5"/>
    <n v="15"/>
    <x v="0"/>
    <s v="Active"/>
    <x v="0"/>
    <x v="1"/>
  </r>
  <r>
    <n v="328"/>
    <s v="Matthew Guerrero"/>
    <n v="22"/>
    <x v="4"/>
    <x v="0"/>
    <x v="0"/>
    <n v="7928"/>
    <x v="2"/>
    <x v="96"/>
    <x v="3"/>
    <n v="1"/>
    <x v="4"/>
    <s v="Active"/>
    <x v="2"/>
    <x v="0"/>
  </r>
  <r>
    <n v="330"/>
    <s v="Taylor Lopez"/>
    <n v="32"/>
    <x v="1"/>
    <x v="1"/>
    <x v="2"/>
    <n v="5502"/>
    <x v="0"/>
    <x v="97"/>
    <x v="4"/>
    <n v="9"/>
    <x v="3"/>
    <s v="Active"/>
    <x v="0"/>
    <x v="2"/>
  </r>
  <r>
    <n v="332"/>
    <s v="Karen Hayden"/>
    <n v="52"/>
    <x v="0"/>
    <x v="1"/>
    <x v="1"/>
    <n v="5380"/>
    <x v="0"/>
    <x v="98"/>
    <x v="2"/>
    <n v="8"/>
    <x v="3"/>
    <s v="Active"/>
    <x v="1"/>
    <x v="1"/>
  </r>
  <r>
    <n v="333"/>
    <s v="Heather Anderson"/>
    <n v="38"/>
    <x v="2"/>
    <x v="0"/>
    <x v="1"/>
    <n v="6259"/>
    <x v="2"/>
    <x v="99"/>
    <x v="4"/>
    <n v="5"/>
    <x v="1"/>
    <s v="Active"/>
    <x v="0"/>
    <x v="0"/>
  </r>
  <r>
    <n v="334"/>
    <s v="Austin Reyes"/>
    <n v="25"/>
    <x v="1"/>
    <x v="0"/>
    <x v="2"/>
    <n v="8301"/>
    <x v="3"/>
    <x v="100"/>
    <x v="2"/>
    <n v="14"/>
    <x v="0"/>
    <s v="Active"/>
    <x v="2"/>
    <x v="2"/>
  </r>
  <r>
    <n v="335"/>
    <s v="Melissa Fisher"/>
    <n v="56"/>
    <x v="3"/>
    <x v="1"/>
    <x v="0"/>
    <n v="6496"/>
    <x v="2"/>
    <x v="101"/>
    <x v="0"/>
    <n v="11"/>
    <x v="3"/>
    <s v="Active"/>
    <x v="2"/>
    <x v="0"/>
  </r>
  <r>
    <n v="339"/>
    <s v="Amanda Conner"/>
    <n v="32"/>
    <x v="1"/>
    <x v="0"/>
    <x v="2"/>
    <n v="4750"/>
    <x v="0"/>
    <x v="102"/>
    <x v="2"/>
    <n v="8"/>
    <x v="3"/>
    <s v="Active"/>
    <x v="2"/>
    <x v="0"/>
  </r>
  <r>
    <n v="347"/>
    <s v="David Durham"/>
    <n v="62"/>
    <x v="3"/>
    <x v="0"/>
    <x v="0"/>
    <n v="7803"/>
    <x v="2"/>
    <x v="103"/>
    <x v="2"/>
    <n v="8"/>
    <x v="3"/>
    <s v="Active"/>
    <x v="2"/>
    <x v="0"/>
  </r>
  <r>
    <n v="350"/>
    <s v="Ryan Cox"/>
    <n v="44"/>
    <x v="2"/>
    <x v="1"/>
    <x v="2"/>
    <n v="7895"/>
    <x v="2"/>
    <x v="104"/>
    <x v="5"/>
    <n v="13"/>
    <x v="0"/>
    <s v="Active"/>
    <x v="1"/>
    <x v="1"/>
  </r>
  <r>
    <n v="353"/>
    <s v="Paul Walters"/>
    <n v="39"/>
    <x v="2"/>
    <x v="0"/>
    <x v="1"/>
    <n v="3353"/>
    <x v="1"/>
    <x v="105"/>
    <x v="2"/>
    <n v="15"/>
    <x v="0"/>
    <s v="Active"/>
    <x v="2"/>
    <x v="0"/>
  </r>
  <r>
    <n v="354"/>
    <s v="Melissa Johnson"/>
    <n v="30"/>
    <x v="1"/>
    <x v="1"/>
    <x v="1"/>
    <n v="7252"/>
    <x v="2"/>
    <x v="106"/>
    <x v="4"/>
    <n v="14"/>
    <x v="0"/>
    <s v="Active"/>
    <x v="0"/>
    <x v="2"/>
  </r>
  <r>
    <n v="358"/>
    <s v="Andre Hall"/>
    <n v="61"/>
    <x v="3"/>
    <x v="1"/>
    <x v="1"/>
    <n v="2928"/>
    <x v="1"/>
    <x v="107"/>
    <x v="2"/>
    <n v="15"/>
    <x v="0"/>
    <s v="Active"/>
    <x v="2"/>
    <x v="1"/>
  </r>
  <r>
    <n v="362"/>
    <s v="Samuel Irwin"/>
    <n v="51"/>
    <x v="0"/>
    <x v="1"/>
    <x v="1"/>
    <n v="4503"/>
    <x v="0"/>
    <x v="108"/>
    <x v="2"/>
    <n v="5"/>
    <x v="1"/>
    <s v="Active"/>
    <x v="1"/>
    <x v="0"/>
  </r>
  <r>
    <n v="363"/>
    <s v="Mr. Timothy Mitchell DDS"/>
    <n v="29"/>
    <x v="1"/>
    <x v="0"/>
    <x v="2"/>
    <n v="7903"/>
    <x v="2"/>
    <x v="109"/>
    <x v="2"/>
    <n v="1"/>
    <x v="4"/>
    <s v="Active"/>
    <x v="0"/>
    <x v="0"/>
  </r>
  <r>
    <n v="369"/>
    <s v="Natasha Spencer"/>
    <n v="23"/>
    <x v="4"/>
    <x v="1"/>
    <x v="0"/>
    <n v="7559"/>
    <x v="2"/>
    <x v="9"/>
    <x v="2"/>
    <n v="20"/>
    <x v="0"/>
    <s v="Active"/>
    <x v="0"/>
    <x v="0"/>
  </r>
  <r>
    <n v="374"/>
    <s v="Eric Hill"/>
    <n v="22"/>
    <x v="4"/>
    <x v="1"/>
    <x v="0"/>
    <n v="8147"/>
    <x v="3"/>
    <x v="110"/>
    <x v="2"/>
    <n v="17"/>
    <x v="0"/>
    <s v="Active"/>
    <x v="2"/>
    <x v="1"/>
  </r>
  <r>
    <n v="375"/>
    <s v="Anthony Baldwin"/>
    <n v="42"/>
    <x v="2"/>
    <x v="1"/>
    <x v="2"/>
    <n v="9067"/>
    <x v="3"/>
    <x v="47"/>
    <x v="5"/>
    <n v="5"/>
    <x v="1"/>
    <s v="Active"/>
    <x v="0"/>
    <x v="2"/>
  </r>
  <r>
    <n v="377"/>
    <s v="Jonathon Mclaughlin"/>
    <n v="64"/>
    <x v="3"/>
    <x v="0"/>
    <x v="1"/>
    <n v="5606"/>
    <x v="0"/>
    <x v="111"/>
    <x v="5"/>
    <n v="19"/>
    <x v="0"/>
    <s v="Active"/>
    <x v="0"/>
    <x v="1"/>
  </r>
  <r>
    <n v="378"/>
    <s v="John Anderson"/>
    <n v="63"/>
    <x v="3"/>
    <x v="1"/>
    <x v="1"/>
    <n v="6013"/>
    <x v="2"/>
    <x v="112"/>
    <x v="2"/>
    <n v="10"/>
    <x v="3"/>
    <s v="Active"/>
    <x v="1"/>
    <x v="0"/>
  </r>
  <r>
    <n v="379"/>
    <s v="Amy Harvey"/>
    <n v="26"/>
    <x v="1"/>
    <x v="0"/>
    <x v="1"/>
    <n v="3556"/>
    <x v="1"/>
    <x v="113"/>
    <x v="2"/>
    <n v="1"/>
    <x v="4"/>
    <s v="Active"/>
    <x v="1"/>
    <x v="0"/>
  </r>
  <r>
    <n v="385"/>
    <s v="Monica Baldwin"/>
    <n v="33"/>
    <x v="1"/>
    <x v="0"/>
    <x v="1"/>
    <n v="7941"/>
    <x v="2"/>
    <x v="114"/>
    <x v="2"/>
    <n v="14"/>
    <x v="0"/>
    <s v="Active"/>
    <x v="2"/>
    <x v="0"/>
  </r>
  <r>
    <n v="387"/>
    <s v="Omar Martinez"/>
    <n v="32"/>
    <x v="1"/>
    <x v="1"/>
    <x v="2"/>
    <n v="7537"/>
    <x v="2"/>
    <x v="115"/>
    <x v="2"/>
    <n v="10"/>
    <x v="3"/>
    <s v="Active"/>
    <x v="0"/>
    <x v="0"/>
  </r>
  <r>
    <n v="390"/>
    <s v="Sandra Gill"/>
    <n v="40"/>
    <x v="2"/>
    <x v="0"/>
    <x v="0"/>
    <n v="2567"/>
    <x v="1"/>
    <x v="116"/>
    <x v="2"/>
    <n v="15"/>
    <x v="0"/>
    <s v="Active"/>
    <x v="1"/>
    <x v="1"/>
  </r>
  <r>
    <n v="392"/>
    <s v="Heather Jones"/>
    <n v="32"/>
    <x v="1"/>
    <x v="0"/>
    <x v="0"/>
    <n v="6309"/>
    <x v="2"/>
    <x v="34"/>
    <x v="5"/>
    <n v="5"/>
    <x v="1"/>
    <s v="Active"/>
    <x v="2"/>
    <x v="1"/>
  </r>
  <r>
    <n v="394"/>
    <s v="Marilyn Baker"/>
    <n v="34"/>
    <x v="1"/>
    <x v="0"/>
    <x v="2"/>
    <n v="8079"/>
    <x v="3"/>
    <x v="117"/>
    <x v="0"/>
    <n v="18"/>
    <x v="0"/>
    <s v="Active"/>
    <x v="1"/>
    <x v="2"/>
  </r>
  <r>
    <n v="395"/>
    <s v="Robert Oliver"/>
    <n v="22"/>
    <x v="4"/>
    <x v="1"/>
    <x v="0"/>
    <n v="8844"/>
    <x v="3"/>
    <x v="118"/>
    <x v="1"/>
    <n v="14"/>
    <x v="0"/>
    <s v="Active"/>
    <x v="0"/>
    <x v="2"/>
  </r>
  <r>
    <n v="396"/>
    <s v="Mary Mcmillan"/>
    <n v="64"/>
    <x v="3"/>
    <x v="1"/>
    <x v="2"/>
    <n v="5850"/>
    <x v="0"/>
    <x v="119"/>
    <x v="0"/>
    <n v="4"/>
    <x v="2"/>
    <s v="Active"/>
    <x v="0"/>
    <x v="2"/>
  </r>
  <r>
    <n v="397"/>
    <s v="Carolyn Arnold"/>
    <n v="37"/>
    <x v="2"/>
    <x v="1"/>
    <x v="0"/>
    <n v="8104"/>
    <x v="3"/>
    <x v="120"/>
    <x v="2"/>
    <n v="20"/>
    <x v="0"/>
    <s v="Active"/>
    <x v="2"/>
    <x v="2"/>
  </r>
  <r>
    <n v="398"/>
    <s v="Sarah Ruiz"/>
    <n v="57"/>
    <x v="3"/>
    <x v="1"/>
    <x v="1"/>
    <n v="6316"/>
    <x v="2"/>
    <x v="121"/>
    <x v="1"/>
    <n v="13"/>
    <x v="0"/>
    <s v="Active"/>
    <x v="0"/>
    <x v="2"/>
  </r>
  <r>
    <n v="400"/>
    <s v="Bradley Hernandez"/>
    <n v="63"/>
    <x v="3"/>
    <x v="1"/>
    <x v="1"/>
    <n v="2418"/>
    <x v="1"/>
    <x v="122"/>
    <x v="2"/>
    <n v="7"/>
    <x v="1"/>
    <s v="Active"/>
    <x v="2"/>
    <x v="0"/>
  </r>
  <r>
    <n v="401"/>
    <s v="Allen Miller"/>
    <n v="35"/>
    <x v="2"/>
    <x v="0"/>
    <x v="1"/>
    <n v="6638"/>
    <x v="2"/>
    <x v="87"/>
    <x v="2"/>
    <n v="13"/>
    <x v="0"/>
    <s v="Active"/>
    <x v="1"/>
    <x v="2"/>
  </r>
  <r>
    <n v="404"/>
    <s v="David Clark"/>
    <n v="40"/>
    <x v="2"/>
    <x v="0"/>
    <x v="2"/>
    <n v="9276"/>
    <x v="3"/>
    <x v="123"/>
    <x v="2"/>
    <n v="12"/>
    <x v="0"/>
    <s v="Active"/>
    <x v="1"/>
    <x v="2"/>
  </r>
  <r>
    <n v="408"/>
    <s v="George Weaver"/>
    <n v="22"/>
    <x v="4"/>
    <x v="0"/>
    <x v="0"/>
    <n v="7728"/>
    <x v="2"/>
    <x v="124"/>
    <x v="0"/>
    <n v="17"/>
    <x v="0"/>
    <s v="Active"/>
    <x v="2"/>
    <x v="0"/>
  </r>
  <r>
    <n v="412"/>
    <s v="Tammy Allison"/>
    <n v="52"/>
    <x v="0"/>
    <x v="0"/>
    <x v="1"/>
    <n v="3739"/>
    <x v="1"/>
    <x v="125"/>
    <x v="5"/>
    <n v="5"/>
    <x v="1"/>
    <s v="Active"/>
    <x v="2"/>
    <x v="1"/>
  </r>
  <r>
    <n v="413"/>
    <s v="Dale Mejia"/>
    <n v="27"/>
    <x v="1"/>
    <x v="1"/>
    <x v="1"/>
    <n v="4777"/>
    <x v="0"/>
    <x v="126"/>
    <x v="5"/>
    <n v="12"/>
    <x v="0"/>
    <s v="Active"/>
    <x v="1"/>
    <x v="2"/>
  </r>
  <r>
    <n v="416"/>
    <s v="Brandon Smith"/>
    <n v="43"/>
    <x v="2"/>
    <x v="0"/>
    <x v="2"/>
    <n v="4117"/>
    <x v="0"/>
    <x v="127"/>
    <x v="2"/>
    <n v="5"/>
    <x v="1"/>
    <s v="Active"/>
    <x v="2"/>
    <x v="0"/>
  </r>
  <r>
    <n v="418"/>
    <s v="Angel Fuller"/>
    <n v="39"/>
    <x v="2"/>
    <x v="1"/>
    <x v="0"/>
    <n v="3677"/>
    <x v="1"/>
    <x v="128"/>
    <x v="2"/>
    <n v="3"/>
    <x v="2"/>
    <s v="Active"/>
    <x v="0"/>
    <x v="1"/>
  </r>
  <r>
    <n v="419"/>
    <s v="Sonia Davis"/>
    <n v="27"/>
    <x v="1"/>
    <x v="1"/>
    <x v="0"/>
    <n v="5837"/>
    <x v="0"/>
    <x v="129"/>
    <x v="2"/>
    <n v="14"/>
    <x v="0"/>
    <s v="Active"/>
    <x v="0"/>
    <x v="2"/>
  </r>
  <r>
    <n v="420"/>
    <s v="Terry Gomez"/>
    <n v="64"/>
    <x v="3"/>
    <x v="1"/>
    <x v="1"/>
    <n v="8406"/>
    <x v="3"/>
    <x v="130"/>
    <x v="2"/>
    <n v="7"/>
    <x v="1"/>
    <s v="Active"/>
    <x v="1"/>
    <x v="1"/>
  </r>
  <r>
    <n v="422"/>
    <s v="Dylan Dixon"/>
    <n v="19"/>
    <x v="4"/>
    <x v="0"/>
    <x v="2"/>
    <n v="8798"/>
    <x v="3"/>
    <x v="131"/>
    <x v="5"/>
    <n v="15"/>
    <x v="0"/>
    <s v="Active"/>
    <x v="2"/>
    <x v="1"/>
  </r>
  <r>
    <n v="423"/>
    <s v="James Newton"/>
    <n v="30"/>
    <x v="1"/>
    <x v="1"/>
    <x v="2"/>
    <n v="5836"/>
    <x v="0"/>
    <x v="132"/>
    <x v="2"/>
    <n v="11"/>
    <x v="3"/>
    <s v="Active"/>
    <x v="0"/>
    <x v="1"/>
  </r>
  <r>
    <n v="430"/>
    <s v="Matthew Turner"/>
    <n v="62"/>
    <x v="3"/>
    <x v="0"/>
    <x v="2"/>
    <n v="4753"/>
    <x v="0"/>
    <x v="133"/>
    <x v="2"/>
    <n v="20"/>
    <x v="0"/>
    <s v="Active"/>
    <x v="2"/>
    <x v="2"/>
  </r>
  <r>
    <n v="434"/>
    <s v="Cameron Harris"/>
    <n v="26"/>
    <x v="1"/>
    <x v="0"/>
    <x v="0"/>
    <n v="6763"/>
    <x v="2"/>
    <x v="134"/>
    <x v="1"/>
    <n v="16"/>
    <x v="0"/>
    <s v="Active"/>
    <x v="2"/>
    <x v="2"/>
  </r>
  <r>
    <n v="436"/>
    <s v="Jason Robertson"/>
    <n v="37"/>
    <x v="2"/>
    <x v="1"/>
    <x v="0"/>
    <n v="5439"/>
    <x v="0"/>
    <x v="83"/>
    <x v="0"/>
    <n v="14"/>
    <x v="0"/>
    <s v="Active"/>
    <x v="1"/>
    <x v="2"/>
  </r>
  <r>
    <n v="441"/>
    <s v="Catherine Jordan"/>
    <n v="43"/>
    <x v="2"/>
    <x v="0"/>
    <x v="1"/>
    <n v="4246"/>
    <x v="0"/>
    <x v="135"/>
    <x v="2"/>
    <n v="11"/>
    <x v="3"/>
    <s v="Active"/>
    <x v="2"/>
    <x v="1"/>
  </r>
  <r>
    <n v="444"/>
    <s v="Joseph Oconnor"/>
    <n v="65"/>
    <x v="3"/>
    <x v="0"/>
    <x v="2"/>
    <n v="6442"/>
    <x v="2"/>
    <x v="136"/>
    <x v="4"/>
    <n v="14"/>
    <x v="0"/>
    <s v="Active"/>
    <x v="0"/>
    <x v="1"/>
  </r>
  <r>
    <n v="445"/>
    <s v="Joseph Armstrong"/>
    <n v="48"/>
    <x v="0"/>
    <x v="0"/>
    <x v="0"/>
    <n v="4183"/>
    <x v="0"/>
    <x v="137"/>
    <x v="4"/>
    <n v="6"/>
    <x v="1"/>
    <s v="Active"/>
    <x v="1"/>
    <x v="1"/>
  </r>
  <r>
    <n v="447"/>
    <s v="Melissa Clark"/>
    <n v="45"/>
    <x v="0"/>
    <x v="0"/>
    <x v="0"/>
    <n v="8888"/>
    <x v="3"/>
    <x v="138"/>
    <x v="2"/>
    <n v="13"/>
    <x v="0"/>
    <s v="Active"/>
    <x v="1"/>
    <x v="1"/>
  </r>
  <r>
    <n v="448"/>
    <s v="Michelle Robertson"/>
    <n v="57"/>
    <x v="3"/>
    <x v="0"/>
    <x v="0"/>
    <n v="8958"/>
    <x v="3"/>
    <x v="139"/>
    <x v="1"/>
    <n v="1"/>
    <x v="4"/>
    <s v="Active"/>
    <x v="1"/>
    <x v="2"/>
  </r>
  <r>
    <n v="452"/>
    <s v="Crystal Reyes"/>
    <n v="41"/>
    <x v="2"/>
    <x v="0"/>
    <x v="1"/>
    <n v="3824"/>
    <x v="1"/>
    <x v="101"/>
    <x v="2"/>
    <n v="9"/>
    <x v="3"/>
    <s v="Active"/>
    <x v="0"/>
    <x v="2"/>
  </r>
  <r>
    <n v="461"/>
    <s v="Jose Allen"/>
    <n v="27"/>
    <x v="1"/>
    <x v="0"/>
    <x v="0"/>
    <n v="9861"/>
    <x v="3"/>
    <x v="140"/>
    <x v="3"/>
    <n v="10"/>
    <x v="3"/>
    <s v="Active"/>
    <x v="1"/>
    <x v="2"/>
  </r>
  <r>
    <n v="465"/>
    <s v="Justin Thornton"/>
    <n v="35"/>
    <x v="2"/>
    <x v="0"/>
    <x v="2"/>
    <n v="6622"/>
    <x v="2"/>
    <x v="141"/>
    <x v="2"/>
    <n v="19"/>
    <x v="0"/>
    <s v="Active"/>
    <x v="1"/>
    <x v="0"/>
  </r>
  <r>
    <n v="466"/>
    <s v="Jeremy Perez"/>
    <n v="21"/>
    <x v="4"/>
    <x v="1"/>
    <x v="2"/>
    <n v="6980"/>
    <x v="2"/>
    <x v="142"/>
    <x v="2"/>
    <n v="1"/>
    <x v="4"/>
    <s v="Active"/>
    <x v="2"/>
    <x v="2"/>
  </r>
  <r>
    <n v="469"/>
    <s v="Luis Shaw"/>
    <n v="29"/>
    <x v="1"/>
    <x v="0"/>
    <x v="2"/>
    <n v="4297"/>
    <x v="0"/>
    <x v="143"/>
    <x v="4"/>
    <n v="10"/>
    <x v="3"/>
    <s v="Active"/>
    <x v="1"/>
    <x v="1"/>
  </r>
  <r>
    <n v="474"/>
    <s v="David Potter"/>
    <n v="56"/>
    <x v="3"/>
    <x v="1"/>
    <x v="2"/>
    <n v="2016"/>
    <x v="1"/>
    <x v="144"/>
    <x v="2"/>
    <n v="18"/>
    <x v="0"/>
    <s v="Active"/>
    <x v="0"/>
    <x v="2"/>
  </r>
  <r>
    <n v="475"/>
    <s v="Kimberly Lang"/>
    <n v="65"/>
    <x v="3"/>
    <x v="0"/>
    <x v="1"/>
    <n v="3820"/>
    <x v="1"/>
    <x v="145"/>
    <x v="4"/>
    <n v="2"/>
    <x v="4"/>
    <s v="Active"/>
    <x v="1"/>
    <x v="0"/>
  </r>
  <r>
    <n v="478"/>
    <s v="Mary Arias"/>
    <n v="19"/>
    <x v="4"/>
    <x v="1"/>
    <x v="1"/>
    <n v="8893"/>
    <x v="3"/>
    <x v="95"/>
    <x v="2"/>
    <n v="7"/>
    <x v="1"/>
    <s v="Active"/>
    <x v="1"/>
    <x v="1"/>
  </r>
  <r>
    <n v="479"/>
    <s v="Jeffrey Robles"/>
    <n v="28"/>
    <x v="1"/>
    <x v="1"/>
    <x v="1"/>
    <n v="8039"/>
    <x v="3"/>
    <x v="146"/>
    <x v="2"/>
    <n v="8"/>
    <x v="3"/>
    <s v="Active"/>
    <x v="1"/>
    <x v="1"/>
  </r>
  <r>
    <n v="482"/>
    <s v="Donna King"/>
    <n v="28"/>
    <x v="1"/>
    <x v="1"/>
    <x v="2"/>
    <n v="6725"/>
    <x v="2"/>
    <x v="147"/>
    <x v="5"/>
    <n v="16"/>
    <x v="0"/>
    <s v="Active"/>
    <x v="1"/>
    <x v="0"/>
  </r>
  <r>
    <n v="484"/>
    <s v="Jason Hayden"/>
    <n v="43"/>
    <x v="2"/>
    <x v="0"/>
    <x v="2"/>
    <n v="3929"/>
    <x v="1"/>
    <x v="148"/>
    <x v="1"/>
    <n v="17"/>
    <x v="0"/>
    <s v="Active"/>
    <x v="1"/>
    <x v="1"/>
  </r>
  <r>
    <n v="485"/>
    <s v="Patricia Washington"/>
    <n v="27"/>
    <x v="1"/>
    <x v="1"/>
    <x v="2"/>
    <n v="6050"/>
    <x v="2"/>
    <x v="68"/>
    <x v="5"/>
    <n v="15"/>
    <x v="0"/>
    <s v="Active"/>
    <x v="1"/>
    <x v="0"/>
  </r>
  <r>
    <n v="486"/>
    <s v="Chelsea Owens"/>
    <n v="64"/>
    <x v="3"/>
    <x v="1"/>
    <x v="2"/>
    <n v="8514"/>
    <x v="3"/>
    <x v="60"/>
    <x v="0"/>
    <n v="8"/>
    <x v="3"/>
    <s v="Active"/>
    <x v="0"/>
    <x v="2"/>
  </r>
  <r>
    <n v="501"/>
    <s v="Kristi Stevens"/>
    <n v="22"/>
    <x v="4"/>
    <x v="1"/>
    <x v="0"/>
    <n v="6558"/>
    <x v="2"/>
    <x v="149"/>
    <x v="1"/>
    <n v="14"/>
    <x v="0"/>
    <s v="Active"/>
    <x v="1"/>
    <x v="0"/>
  </r>
  <r>
    <n v="502"/>
    <s v="Christina Hayes"/>
    <n v="32"/>
    <x v="1"/>
    <x v="1"/>
    <x v="1"/>
    <n v="7401"/>
    <x v="2"/>
    <x v="150"/>
    <x v="2"/>
    <n v="8"/>
    <x v="3"/>
    <s v="Active"/>
    <x v="2"/>
    <x v="1"/>
  </r>
  <r>
    <n v="503"/>
    <s v="Dawn Choi"/>
    <n v="28"/>
    <x v="1"/>
    <x v="0"/>
    <x v="2"/>
    <n v="8308"/>
    <x v="3"/>
    <x v="151"/>
    <x v="5"/>
    <n v="18"/>
    <x v="0"/>
    <s v="Active"/>
    <x v="2"/>
    <x v="0"/>
  </r>
  <r>
    <n v="504"/>
    <s v="Zachary Bowen"/>
    <n v="25"/>
    <x v="1"/>
    <x v="1"/>
    <x v="1"/>
    <n v="2712"/>
    <x v="1"/>
    <x v="152"/>
    <x v="2"/>
    <n v="10"/>
    <x v="3"/>
    <s v="Active"/>
    <x v="1"/>
    <x v="2"/>
  </r>
  <r>
    <n v="509"/>
    <s v="Erica Garcia"/>
    <n v="32"/>
    <x v="1"/>
    <x v="0"/>
    <x v="2"/>
    <n v="3726"/>
    <x v="1"/>
    <x v="153"/>
    <x v="2"/>
    <n v="4"/>
    <x v="2"/>
    <s v="Active"/>
    <x v="1"/>
    <x v="0"/>
  </r>
  <r>
    <n v="511"/>
    <s v="Charles Smith"/>
    <n v="24"/>
    <x v="4"/>
    <x v="0"/>
    <x v="2"/>
    <n v="5716"/>
    <x v="0"/>
    <x v="154"/>
    <x v="5"/>
    <n v="15"/>
    <x v="0"/>
    <s v="Active"/>
    <x v="1"/>
    <x v="0"/>
  </r>
  <r>
    <n v="512"/>
    <s v="Ellen Wright"/>
    <n v="56"/>
    <x v="3"/>
    <x v="1"/>
    <x v="0"/>
    <n v="7339"/>
    <x v="2"/>
    <x v="155"/>
    <x v="2"/>
    <n v="1"/>
    <x v="4"/>
    <s v="Active"/>
    <x v="0"/>
    <x v="1"/>
  </r>
  <r>
    <n v="513"/>
    <s v="Ryan Hess"/>
    <n v="41"/>
    <x v="2"/>
    <x v="1"/>
    <x v="0"/>
    <n v="3067"/>
    <x v="1"/>
    <x v="156"/>
    <x v="0"/>
    <n v="19"/>
    <x v="0"/>
    <s v="Active"/>
    <x v="2"/>
    <x v="1"/>
  </r>
  <r>
    <n v="516"/>
    <s v="Megan Sullivan"/>
    <n v="42"/>
    <x v="2"/>
    <x v="0"/>
    <x v="2"/>
    <n v="4243"/>
    <x v="0"/>
    <x v="157"/>
    <x v="3"/>
    <n v="2"/>
    <x v="4"/>
    <s v="Active"/>
    <x v="2"/>
    <x v="1"/>
  </r>
  <r>
    <n v="517"/>
    <s v="Christina Lowe"/>
    <n v="35"/>
    <x v="2"/>
    <x v="0"/>
    <x v="1"/>
    <n v="9630"/>
    <x v="3"/>
    <x v="158"/>
    <x v="2"/>
    <n v="1"/>
    <x v="4"/>
    <s v="Active"/>
    <x v="2"/>
    <x v="0"/>
  </r>
  <r>
    <n v="519"/>
    <s v="Kyle Strong"/>
    <n v="46"/>
    <x v="0"/>
    <x v="0"/>
    <x v="0"/>
    <n v="6688"/>
    <x v="2"/>
    <x v="159"/>
    <x v="2"/>
    <n v="16"/>
    <x v="0"/>
    <s v="Active"/>
    <x v="0"/>
    <x v="0"/>
  </r>
  <r>
    <n v="522"/>
    <s v="Rebecca Stone"/>
    <n v="18"/>
    <x v="4"/>
    <x v="0"/>
    <x v="0"/>
    <n v="2302"/>
    <x v="1"/>
    <x v="160"/>
    <x v="2"/>
    <n v="6"/>
    <x v="1"/>
    <s v="Active"/>
    <x v="0"/>
    <x v="0"/>
  </r>
  <r>
    <n v="528"/>
    <s v="Amber Rodriguez"/>
    <n v="18"/>
    <x v="4"/>
    <x v="1"/>
    <x v="1"/>
    <n v="4941"/>
    <x v="0"/>
    <x v="161"/>
    <x v="5"/>
    <n v="19"/>
    <x v="0"/>
    <s v="Active"/>
    <x v="2"/>
    <x v="2"/>
  </r>
  <r>
    <n v="529"/>
    <s v="Anne Roberts"/>
    <n v="44"/>
    <x v="2"/>
    <x v="1"/>
    <x v="1"/>
    <n v="6936"/>
    <x v="2"/>
    <x v="162"/>
    <x v="0"/>
    <n v="2"/>
    <x v="4"/>
    <s v="Active"/>
    <x v="1"/>
    <x v="1"/>
  </r>
  <r>
    <n v="530"/>
    <s v="Katie Vega"/>
    <n v="40"/>
    <x v="2"/>
    <x v="0"/>
    <x v="0"/>
    <n v="7002"/>
    <x v="2"/>
    <x v="163"/>
    <x v="0"/>
    <n v="20"/>
    <x v="0"/>
    <s v="Active"/>
    <x v="2"/>
    <x v="0"/>
  </r>
  <r>
    <n v="535"/>
    <s v="Ryan Ramos"/>
    <n v="28"/>
    <x v="1"/>
    <x v="0"/>
    <x v="1"/>
    <n v="4004"/>
    <x v="0"/>
    <x v="164"/>
    <x v="2"/>
    <n v="10"/>
    <x v="3"/>
    <s v="Active"/>
    <x v="1"/>
    <x v="2"/>
  </r>
  <r>
    <n v="540"/>
    <s v="Jonathan Reed"/>
    <n v="39"/>
    <x v="2"/>
    <x v="0"/>
    <x v="2"/>
    <n v="9823"/>
    <x v="3"/>
    <x v="165"/>
    <x v="2"/>
    <n v="1"/>
    <x v="4"/>
    <s v="Active"/>
    <x v="1"/>
    <x v="0"/>
  </r>
  <r>
    <n v="541"/>
    <s v="Julie Turner"/>
    <n v="53"/>
    <x v="0"/>
    <x v="0"/>
    <x v="0"/>
    <n v="6092"/>
    <x v="2"/>
    <x v="166"/>
    <x v="2"/>
    <n v="16"/>
    <x v="0"/>
    <s v="Active"/>
    <x v="0"/>
    <x v="1"/>
  </r>
  <r>
    <n v="542"/>
    <s v="Joseph Vargas"/>
    <n v="46"/>
    <x v="0"/>
    <x v="0"/>
    <x v="1"/>
    <n v="5594"/>
    <x v="0"/>
    <x v="167"/>
    <x v="2"/>
    <n v="3"/>
    <x v="2"/>
    <s v="Active"/>
    <x v="1"/>
    <x v="1"/>
  </r>
  <r>
    <n v="546"/>
    <s v="Tara Mccoy"/>
    <n v="31"/>
    <x v="1"/>
    <x v="1"/>
    <x v="2"/>
    <n v="8103"/>
    <x v="3"/>
    <x v="168"/>
    <x v="5"/>
    <n v="4"/>
    <x v="2"/>
    <s v="Active"/>
    <x v="1"/>
    <x v="0"/>
  </r>
  <r>
    <n v="550"/>
    <s v="Jason Greene"/>
    <n v="26"/>
    <x v="1"/>
    <x v="1"/>
    <x v="1"/>
    <n v="5184"/>
    <x v="0"/>
    <x v="169"/>
    <x v="2"/>
    <n v="11"/>
    <x v="3"/>
    <s v="Active"/>
    <x v="1"/>
    <x v="1"/>
  </r>
  <r>
    <n v="553"/>
    <s v="Amanda Griffith"/>
    <n v="26"/>
    <x v="1"/>
    <x v="1"/>
    <x v="1"/>
    <n v="9704"/>
    <x v="3"/>
    <x v="170"/>
    <x v="2"/>
    <n v="9"/>
    <x v="3"/>
    <s v="Active"/>
    <x v="0"/>
    <x v="1"/>
  </r>
  <r>
    <n v="556"/>
    <s v="Crystal Kidd"/>
    <n v="29"/>
    <x v="1"/>
    <x v="0"/>
    <x v="0"/>
    <n v="8220"/>
    <x v="3"/>
    <x v="171"/>
    <x v="5"/>
    <n v="11"/>
    <x v="3"/>
    <s v="Active"/>
    <x v="2"/>
    <x v="2"/>
  </r>
  <r>
    <n v="557"/>
    <s v="Kristina Phillips"/>
    <n v="24"/>
    <x v="4"/>
    <x v="1"/>
    <x v="2"/>
    <n v="7887"/>
    <x v="2"/>
    <x v="109"/>
    <x v="2"/>
    <n v="14"/>
    <x v="0"/>
    <s v="Active"/>
    <x v="1"/>
    <x v="0"/>
  </r>
  <r>
    <n v="558"/>
    <s v="Michaela Rivera"/>
    <n v="28"/>
    <x v="1"/>
    <x v="1"/>
    <x v="0"/>
    <n v="9163"/>
    <x v="3"/>
    <x v="172"/>
    <x v="0"/>
    <n v="12"/>
    <x v="0"/>
    <s v="Active"/>
    <x v="2"/>
    <x v="2"/>
  </r>
  <r>
    <n v="559"/>
    <s v="Tammy Mcpherson"/>
    <n v="63"/>
    <x v="3"/>
    <x v="0"/>
    <x v="1"/>
    <n v="2640"/>
    <x v="1"/>
    <x v="173"/>
    <x v="2"/>
    <n v="3"/>
    <x v="2"/>
    <s v="Active"/>
    <x v="0"/>
    <x v="2"/>
  </r>
  <r>
    <n v="560"/>
    <s v="Carrie Thomas"/>
    <n v="39"/>
    <x v="2"/>
    <x v="0"/>
    <x v="1"/>
    <n v="2831"/>
    <x v="1"/>
    <x v="174"/>
    <x v="4"/>
    <n v="8"/>
    <x v="3"/>
    <s v="Active"/>
    <x v="2"/>
    <x v="1"/>
  </r>
  <r>
    <n v="565"/>
    <s v="Kathleen Ross"/>
    <n v="50"/>
    <x v="0"/>
    <x v="1"/>
    <x v="2"/>
    <n v="8941"/>
    <x v="3"/>
    <x v="175"/>
    <x v="0"/>
    <n v="11"/>
    <x v="3"/>
    <s v="Active"/>
    <x v="0"/>
    <x v="2"/>
  </r>
  <r>
    <n v="569"/>
    <s v="Kimberly Montgomery"/>
    <n v="55"/>
    <x v="3"/>
    <x v="0"/>
    <x v="1"/>
    <n v="6345"/>
    <x v="2"/>
    <x v="84"/>
    <x v="2"/>
    <n v="2"/>
    <x v="4"/>
    <s v="Active"/>
    <x v="2"/>
    <x v="1"/>
  </r>
  <r>
    <n v="574"/>
    <s v="Patrick Rodriguez"/>
    <n v="38"/>
    <x v="2"/>
    <x v="1"/>
    <x v="2"/>
    <n v="3532"/>
    <x v="1"/>
    <x v="176"/>
    <x v="2"/>
    <n v="1"/>
    <x v="4"/>
    <s v="Active"/>
    <x v="0"/>
    <x v="2"/>
  </r>
  <r>
    <n v="577"/>
    <s v="Chad Kennedy"/>
    <n v="49"/>
    <x v="0"/>
    <x v="1"/>
    <x v="1"/>
    <n v="7111"/>
    <x v="2"/>
    <x v="177"/>
    <x v="5"/>
    <n v="18"/>
    <x v="0"/>
    <s v="Active"/>
    <x v="1"/>
    <x v="0"/>
  </r>
  <r>
    <n v="580"/>
    <s v="Mark Santiago"/>
    <n v="32"/>
    <x v="1"/>
    <x v="1"/>
    <x v="0"/>
    <n v="3736"/>
    <x v="1"/>
    <x v="178"/>
    <x v="3"/>
    <n v="17"/>
    <x v="0"/>
    <s v="Active"/>
    <x v="0"/>
    <x v="1"/>
  </r>
  <r>
    <n v="585"/>
    <s v="Angela Bell"/>
    <n v="62"/>
    <x v="3"/>
    <x v="0"/>
    <x v="1"/>
    <n v="2844"/>
    <x v="1"/>
    <x v="179"/>
    <x v="5"/>
    <n v="10"/>
    <x v="3"/>
    <s v="Active"/>
    <x v="0"/>
    <x v="1"/>
  </r>
  <r>
    <n v="590"/>
    <s v="Meghan Beck"/>
    <n v="18"/>
    <x v="4"/>
    <x v="0"/>
    <x v="0"/>
    <n v="7088"/>
    <x v="2"/>
    <x v="180"/>
    <x v="2"/>
    <n v="7"/>
    <x v="1"/>
    <s v="Active"/>
    <x v="2"/>
    <x v="0"/>
  </r>
  <r>
    <n v="593"/>
    <s v="Laura Smith"/>
    <n v="47"/>
    <x v="0"/>
    <x v="0"/>
    <x v="1"/>
    <n v="7876"/>
    <x v="2"/>
    <x v="181"/>
    <x v="0"/>
    <n v="1"/>
    <x v="4"/>
    <s v="Active"/>
    <x v="2"/>
    <x v="2"/>
  </r>
  <r>
    <n v="598"/>
    <s v="Brenda Torres"/>
    <n v="20"/>
    <x v="4"/>
    <x v="1"/>
    <x v="0"/>
    <n v="2256"/>
    <x v="1"/>
    <x v="182"/>
    <x v="2"/>
    <n v="9"/>
    <x v="3"/>
    <s v="Active"/>
    <x v="0"/>
    <x v="1"/>
  </r>
  <r>
    <n v="600"/>
    <s v="Stephen Weber"/>
    <n v="20"/>
    <x v="4"/>
    <x v="1"/>
    <x v="0"/>
    <n v="7375"/>
    <x v="2"/>
    <x v="183"/>
    <x v="5"/>
    <n v="2"/>
    <x v="4"/>
    <s v="Active"/>
    <x v="1"/>
    <x v="0"/>
  </r>
  <r>
    <n v="602"/>
    <s v="Connie Collins"/>
    <n v="52"/>
    <x v="0"/>
    <x v="1"/>
    <x v="1"/>
    <n v="6509"/>
    <x v="2"/>
    <x v="184"/>
    <x v="1"/>
    <n v="1"/>
    <x v="4"/>
    <s v="Active"/>
    <x v="1"/>
    <x v="2"/>
  </r>
  <r>
    <n v="605"/>
    <s v="Erin Phillips"/>
    <n v="65"/>
    <x v="3"/>
    <x v="0"/>
    <x v="1"/>
    <n v="8054"/>
    <x v="3"/>
    <x v="185"/>
    <x v="0"/>
    <n v="9"/>
    <x v="3"/>
    <s v="Active"/>
    <x v="0"/>
    <x v="0"/>
  </r>
  <r>
    <n v="608"/>
    <s v="Shelly Russo"/>
    <n v="48"/>
    <x v="0"/>
    <x v="0"/>
    <x v="1"/>
    <n v="3845"/>
    <x v="1"/>
    <x v="186"/>
    <x v="4"/>
    <n v="13"/>
    <x v="0"/>
    <s v="Active"/>
    <x v="1"/>
    <x v="0"/>
  </r>
  <r>
    <n v="610"/>
    <s v="Renee Burnett"/>
    <n v="62"/>
    <x v="3"/>
    <x v="1"/>
    <x v="1"/>
    <n v="4160"/>
    <x v="0"/>
    <x v="187"/>
    <x v="3"/>
    <n v="12"/>
    <x v="0"/>
    <s v="Active"/>
    <x v="1"/>
    <x v="0"/>
  </r>
  <r>
    <n v="611"/>
    <s v="Kerry Simon"/>
    <n v="50"/>
    <x v="0"/>
    <x v="1"/>
    <x v="1"/>
    <n v="6272"/>
    <x v="2"/>
    <x v="188"/>
    <x v="2"/>
    <n v="1"/>
    <x v="4"/>
    <s v="Active"/>
    <x v="0"/>
    <x v="0"/>
  </r>
  <r>
    <n v="615"/>
    <s v="Kimberly Dunlap"/>
    <n v="53"/>
    <x v="0"/>
    <x v="1"/>
    <x v="0"/>
    <n v="4213"/>
    <x v="0"/>
    <x v="189"/>
    <x v="2"/>
    <n v="1"/>
    <x v="4"/>
    <s v="Active"/>
    <x v="2"/>
    <x v="2"/>
  </r>
  <r>
    <n v="616"/>
    <s v="David Pena"/>
    <n v="59"/>
    <x v="3"/>
    <x v="1"/>
    <x v="2"/>
    <n v="3105"/>
    <x v="1"/>
    <x v="190"/>
    <x v="3"/>
    <n v="9"/>
    <x v="3"/>
    <s v="Active"/>
    <x v="2"/>
    <x v="0"/>
  </r>
  <r>
    <n v="619"/>
    <s v="Terry Burch"/>
    <n v="63"/>
    <x v="3"/>
    <x v="1"/>
    <x v="2"/>
    <n v="5417"/>
    <x v="0"/>
    <x v="191"/>
    <x v="0"/>
    <n v="11"/>
    <x v="3"/>
    <s v="Active"/>
    <x v="2"/>
    <x v="1"/>
  </r>
  <r>
    <n v="620"/>
    <s v="Jason Davis"/>
    <n v="31"/>
    <x v="1"/>
    <x v="0"/>
    <x v="2"/>
    <n v="6675"/>
    <x v="2"/>
    <x v="192"/>
    <x v="2"/>
    <n v="9"/>
    <x v="3"/>
    <s v="Active"/>
    <x v="0"/>
    <x v="0"/>
  </r>
  <r>
    <n v="623"/>
    <s v="Joseph Smith"/>
    <n v="26"/>
    <x v="1"/>
    <x v="1"/>
    <x v="1"/>
    <n v="8377"/>
    <x v="3"/>
    <x v="193"/>
    <x v="0"/>
    <n v="7"/>
    <x v="1"/>
    <s v="Active"/>
    <x v="1"/>
    <x v="2"/>
  </r>
  <r>
    <n v="625"/>
    <s v="Jennifer Clark"/>
    <n v="64"/>
    <x v="3"/>
    <x v="1"/>
    <x v="2"/>
    <n v="4232"/>
    <x v="0"/>
    <x v="194"/>
    <x v="0"/>
    <n v="10"/>
    <x v="3"/>
    <s v="Active"/>
    <x v="0"/>
    <x v="0"/>
  </r>
  <r>
    <n v="628"/>
    <s v="Terri Foster"/>
    <n v="20"/>
    <x v="4"/>
    <x v="1"/>
    <x v="0"/>
    <n v="6165"/>
    <x v="2"/>
    <x v="195"/>
    <x v="2"/>
    <n v="9"/>
    <x v="3"/>
    <s v="Active"/>
    <x v="0"/>
    <x v="2"/>
  </r>
  <r>
    <n v="629"/>
    <s v="Brenda Lang"/>
    <n v="23"/>
    <x v="4"/>
    <x v="1"/>
    <x v="0"/>
    <n v="3790"/>
    <x v="1"/>
    <x v="196"/>
    <x v="0"/>
    <n v="13"/>
    <x v="0"/>
    <s v="Active"/>
    <x v="0"/>
    <x v="2"/>
  </r>
  <r>
    <n v="631"/>
    <s v="Melissa Vega"/>
    <n v="21"/>
    <x v="4"/>
    <x v="0"/>
    <x v="1"/>
    <n v="5970"/>
    <x v="0"/>
    <x v="197"/>
    <x v="2"/>
    <n v="6"/>
    <x v="1"/>
    <s v="Active"/>
    <x v="2"/>
    <x v="1"/>
  </r>
  <r>
    <n v="634"/>
    <s v="Heather Arias"/>
    <n v="21"/>
    <x v="4"/>
    <x v="0"/>
    <x v="1"/>
    <n v="3913"/>
    <x v="1"/>
    <x v="198"/>
    <x v="2"/>
    <n v="9"/>
    <x v="3"/>
    <s v="Active"/>
    <x v="0"/>
    <x v="1"/>
  </r>
  <r>
    <n v="636"/>
    <s v="Stacy Bell"/>
    <n v="37"/>
    <x v="2"/>
    <x v="0"/>
    <x v="1"/>
    <n v="3622"/>
    <x v="1"/>
    <x v="199"/>
    <x v="2"/>
    <n v="15"/>
    <x v="0"/>
    <s v="Active"/>
    <x v="2"/>
    <x v="1"/>
  </r>
  <r>
    <n v="639"/>
    <s v="Jimmy Wade"/>
    <n v="19"/>
    <x v="4"/>
    <x v="1"/>
    <x v="1"/>
    <n v="2277"/>
    <x v="1"/>
    <x v="200"/>
    <x v="1"/>
    <n v="4"/>
    <x v="2"/>
    <s v="Active"/>
    <x v="2"/>
    <x v="0"/>
  </r>
  <r>
    <n v="642"/>
    <s v="Brianna Phelps"/>
    <n v="37"/>
    <x v="2"/>
    <x v="1"/>
    <x v="1"/>
    <n v="6354"/>
    <x v="2"/>
    <x v="201"/>
    <x v="2"/>
    <n v="9"/>
    <x v="3"/>
    <s v="Active"/>
    <x v="2"/>
    <x v="0"/>
  </r>
  <r>
    <n v="644"/>
    <s v="Rebecca Avery"/>
    <n v="40"/>
    <x v="2"/>
    <x v="0"/>
    <x v="0"/>
    <n v="6918"/>
    <x v="2"/>
    <x v="202"/>
    <x v="5"/>
    <n v="1"/>
    <x v="4"/>
    <s v="Active"/>
    <x v="2"/>
    <x v="0"/>
  </r>
  <r>
    <n v="648"/>
    <s v="Emily Martin"/>
    <n v="58"/>
    <x v="3"/>
    <x v="1"/>
    <x v="1"/>
    <n v="4038"/>
    <x v="0"/>
    <x v="203"/>
    <x v="3"/>
    <n v="13"/>
    <x v="0"/>
    <s v="Active"/>
    <x v="2"/>
    <x v="1"/>
  </r>
  <r>
    <n v="651"/>
    <s v="Jason Warren"/>
    <n v="57"/>
    <x v="3"/>
    <x v="0"/>
    <x v="0"/>
    <n v="2850"/>
    <x v="1"/>
    <x v="204"/>
    <x v="2"/>
    <n v="1"/>
    <x v="4"/>
    <s v="Active"/>
    <x v="2"/>
    <x v="1"/>
  </r>
  <r>
    <n v="653"/>
    <s v="Mrs. Kimberly Day MD"/>
    <n v="61"/>
    <x v="3"/>
    <x v="1"/>
    <x v="0"/>
    <n v="5508"/>
    <x v="0"/>
    <x v="25"/>
    <x v="5"/>
    <n v="5"/>
    <x v="1"/>
    <s v="Active"/>
    <x v="2"/>
    <x v="0"/>
  </r>
  <r>
    <n v="659"/>
    <s v="Gregory Marshall"/>
    <n v="20"/>
    <x v="4"/>
    <x v="1"/>
    <x v="0"/>
    <n v="3500"/>
    <x v="1"/>
    <x v="205"/>
    <x v="2"/>
    <n v="20"/>
    <x v="0"/>
    <s v="Active"/>
    <x v="0"/>
    <x v="2"/>
  </r>
  <r>
    <n v="660"/>
    <s v="Eric Bailey"/>
    <n v="65"/>
    <x v="3"/>
    <x v="0"/>
    <x v="0"/>
    <n v="5816"/>
    <x v="0"/>
    <x v="206"/>
    <x v="4"/>
    <n v="9"/>
    <x v="3"/>
    <s v="Active"/>
    <x v="1"/>
    <x v="1"/>
  </r>
  <r>
    <n v="661"/>
    <s v="Dawn Coleman"/>
    <n v="48"/>
    <x v="0"/>
    <x v="0"/>
    <x v="0"/>
    <n v="8150"/>
    <x v="3"/>
    <x v="207"/>
    <x v="2"/>
    <n v="3"/>
    <x v="2"/>
    <s v="Active"/>
    <x v="0"/>
    <x v="0"/>
  </r>
  <r>
    <n v="665"/>
    <s v="Brenda Mendoza"/>
    <n v="43"/>
    <x v="2"/>
    <x v="0"/>
    <x v="1"/>
    <n v="9053"/>
    <x v="3"/>
    <x v="208"/>
    <x v="1"/>
    <n v="9"/>
    <x v="3"/>
    <s v="Active"/>
    <x v="0"/>
    <x v="1"/>
  </r>
  <r>
    <n v="669"/>
    <s v="Michael Lee"/>
    <n v="23"/>
    <x v="4"/>
    <x v="1"/>
    <x v="1"/>
    <n v="8898"/>
    <x v="3"/>
    <x v="209"/>
    <x v="1"/>
    <n v="15"/>
    <x v="0"/>
    <s v="Active"/>
    <x v="0"/>
    <x v="0"/>
  </r>
  <r>
    <n v="674"/>
    <s v="Mrs. Theresa Wilson"/>
    <n v="20"/>
    <x v="4"/>
    <x v="0"/>
    <x v="1"/>
    <n v="2372"/>
    <x v="1"/>
    <x v="210"/>
    <x v="4"/>
    <n v="8"/>
    <x v="3"/>
    <s v="Active"/>
    <x v="1"/>
    <x v="2"/>
  </r>
  <r>
    <n v="675"/>
    <s v="John Freeman"/>
    <n v="60"/>
    <x v="3"/>
    <x v="1"/>
    <x v="0"/>
    <n v="3436"/>
    <x v="1"/>
    <x v="211"/>
    <x v="1"/>
    <n v="10"/>
    <x v="3"/>
    <s v="Active"/>
    <x v="2"/>
    <x v="0"/>
  </r>
  <r>
    <n v="678"/>
    <s v="Michelle Durham"/>
    <n v="35"/>
    <x v="2"/>
    <x v="1"/>
    <x v="0"/>
    <n v="5900"/>
    <x v="0"/>
    <x v="212"/>
    <x v="2"/>
    <n v="12"/>
    <x v="0"/>
    <s v="Active"/>
    <x v="1"/>
    <x v="1"/>
  </r>
  <r>
    <n v="680"/>
    <s v="Jeremy Garcia"/>
    <n v="58"/>
    <x v="3"/>
    <x v="0"/>
    <x v="0"/>
    <n v="2477"/>
    <x v="1"/>
    <x v="213"/>
    <x v="2"/>
    <n v="4"/>
    <x v="2"/>
    <s v="Active"/>
    <x v="0"/>
    <x v="2"/>
  </r>
  <r>
    <n v="681"/>
    <s v="Christy Jordan"/>
    <n v="19"/>
    <x v="4"/>
    <x v="0"/>
    <x v="2"/>
    <n v="6725"/>
    <x v="2"/>
    <x v="214"/>
    <x v="3"/>
    <n v="6"/>
    <x v="1"/>
    <s v="Active"/>
    <x v="1"/>
    <x v="2"/>
  </r>
  <r>
    <n v="684"/>
    <s v="Jill Stanton"/>
    <n v="48"/>
    <x v="0"/>
    <x v="1"/>
    <x v="0"/>
    <n v="5309"/>
    <x v="0"/>
    <x v="215"/>
    <x v="1"/>
    <n v="5"/>
    <x v="1"/>
    <s v="Active"/>
    <x v="0"/>
    <x v="2"/>
  </r>
  <r>
    <n v="687"/>
    <s v="Angel Henry"/>
    <n v="20"/>
    <x v="4"/>
    <x v="1"/>
    <x v="1"/>
    <n v="4483"/>
    <x v="0"/>
    <x v="216"/>
    <x v="0"/>
    <n v="19"/>
    <x v="0"/>
    <s v="Active"/>
    <x v="0"/>
    <x v="0"/>
  </r>
  <r>
    <n v="688"/>
    <s v="Brandon Martin"/>
    <n v="20"/>
    <x v="4"/>
    <x v="0"/>
    <x v="2"/>
    <n v="9044"/>
    <x v="3"/>
    <x v="217"/>
    <x v="2"/>
    <n v="7"/>
    <x v="1"/>
    <s v="Active"/>
    <x v="2"/>
    <x v="2"/>
  </r>
  <r>
    <n v="689"/>
    <s v="Natalie Byrd"/>
    <n v="29"/>
    <x v="1"/>
    <x v="1"/>
    <x v="0"/>
    <n v="3504"/>
    <x v="1"/>
    <x v="218"/>
    <x v="2"/>
    <n v="10"/>
    <x v="3"/>
    <s v="Active"/>
    <x v="1"/>
    <x v="1"/>
  </r>
  <r>
    <n v="690"/>
    <s v="Samuel Rivera"/>
    <n v="35"/>
    <x v="2"/>
    <x v="0"/>
    <x v="0"/>
    <n v="5531"/>
    <x v="0"/>
    <x v="219"/>
    <x v="2"/>
    <n v="7"/>
    <x v="1"/>
    <s v="Active"/>
    <x v="1"/>
    <x v="2"/>
  </r>
  <r>
    <n v="692"/>
    <s v="Jim Scott"/>
    <n v="47"/>
    <x v="0"/>
    <x v="1"/>
    <x v="1"/>
    <n v="2145"/>
    <x v="1"/>
    <x v="220"/>
    <x v="2"/>
    <n v="10"/>
    <x v="3"/>
    <s v="Active"/>
    <x v="1"/>
    <x v="0"/>
  </r>
  <r>
    <n v="693"/>
    <s v="Molly Harris"/>
    <n v="63"/>
    <x v="3"/>
    <x v="1"/>
    <x v="2"/>
    <n v="7897"/>
    <x v="2"/>
    <x v="221"/>
    <x v="2"/>
    <n v="20"/>
    <x v="0"/>
    <s v="Active"/>
    <x v="0"/>
    <x v="1"/>
  </r>
  <r>
    <n v="695"/>
    <s v="Jessica Lopez"/>
    <n v="50"/>
    <x v="0"/>
    <x v="0"/>
    <x v="0"/>
    <n v="4721"/>
    <x v="0"/>
    <x v="222"/>
    <x v="5"/>
    <n v="16"/>
    <x v="0"/>
    <s v="Active"/>
    <x v="2"/>
    <x v="1"/>
  </r>
  <r>
    <n v="698"/>
    <s v="Carl Armstrong"/>
    <n v="22"/>
    <x v="4"/>
    <x v="1"/>
    <x v="2"/>
    <n v="4927"/>
    <x v="0"/>
    <x v="223"/>
    <x v="5"/>
    <n v="20"/>
    <x v="0"/>
    <s v="Active"/>
    <x v="2"/>
    <x v="1"/>
  </r>
  <r>
    <n v="700"/>
    <s v="David Pierce"/>
    <n v="39"/>
    <x v="2"/>
    <x v="0"/>
    <x v="2"/>
    <n v="7614"/>
    <x v="2"/>
    <x v="224"/>
    <x v="2"/>
    <n v="10"/>
    <x v="3"/>
    <s v="Active"/>
    <x v="0"/>
    <x v="1"/>
  </r>
  <r>
    <n v="702"/>
    <s v="Lisa Ramirez"/>
    <n v="43"/>
    <x v="2"/>
    <x v="0"/>
    <x v="2"/>
    <n v="4925"/>
    <x v="0"/>
    <x v="225"/>
    <x v="2"/>
    <n v="3"/>
    <x v="2"/>
    <s v="Active"/>
    <x v="0"/>
    <x v="1"/>
  </r>
  <r>
    <n v="706"/>
    <s v="Raymond Nelson"/>
    <n v="28"/>
    <x v="1"/>
    <x v="0"/>
    <x v="1"/>
    <n v="7873"/>
    <x v="2"/>
    <x v="226"/>
    <x v="3"/>
    <n v="2"/>
    <x v="4"/>
    <s v="Active"/>
    <x v="1"/>
    <x v="0"/>
  </r>
  <r>
    <n v="709"/>
    <s v="Brian Owens"/>
    <n v="23"/>
    <x v="4"/>
    <x v="1"/>
    <x v="0"/>
    <n v="5648"/>
    <x v="0"/>
    <x v="227"/>
    <x v="2"/>
    <n v="19"/>
    <x v="0"/>
    <s v="Active"/>
    <x v="0"/>
    <x v="2"/>
  </r>
  <r>
    <n v="710"/>
    <s v="Jacob Woods"/>
    <n v="54"/>
    <x v="0"/>
    <x v="0"/>
    <x v="2"/>
    <n v="9592"/>
    <x v="3"/>
    <x v="228"/>
    <x v="2"/>
    <n v="1"/>
    <x v="4"/>
    <s v="Active"/>
    <x v="0"/>
    <x v="0"/>
  </r>
  <r>
    <n v="713"/>
    <s v="Howard Key"/>
    <n v="47"/>
    <x v="0"/>
    <x v="1"/>
    <x v="0"/>
    <n v="7123"/>
    <x v="2"/>
    <x v="229"/>
    <x v="2"/>
    <n v="11"/>
    <x v="3"/>
    <s v="Active"/>
    <x v="0"/>
    <x v="0"/>
  </r>
  <r>
    <n v="723"/>
    <s v="Jill Buchanan"/>
    <n v="57"/>
    <x v="3"/>
    <x v="1"/>
    <x v="0"/>
    <n v="6974"/>
    <x v="2"/>
    <x v="230"/>
    <x v="4"/>
    <n v="6"/>
    <x v="1"/>
    <s v="Active"/>
    <x v="2"/>
    <x v="1"/>
  </r>
  <r>
    <n v="725"/>
    <s v="Gregory Smith"/>
    <n v="36"/>
    <x v="2"/>
    <x v="0"/>
    <x v="2"/>
    <n v="4936"/>
    <x v="0"/>
    <x v="231"/>
    <x v="2"/>
    <n v="12"/>
    <x v="0"/>
    <s v="Active"/>
    <x v="1"/>
    <x v="1"/>
  </r>
  <r>
    <n v="727"/>
    <s v="David Gregory"/>
    <n v="36"/>
    <x v="2"/>
    <x v="1"/>
    <x v="1"/>
    <n v="2321"/>
    <x v="1"/>
    <x v="232"/>
    <x v="2"/>
    <n v="1"/>
    <x v="4"/>
    <s v="Active"/>
    <x v="1"/>
    <x v="1"/>
  </r>
  <r>
    <n v="728"/>
    <s v="Tammy Dixon"/>
    <n v="60"/>
    <x v="3"/>
    <x v="1"/>
    <x v="0"/>
    <n v="5312"/>
    <x v="0"/>
    <x v="233"/>
    <x v="2"/>
    <n v="8"/>
    <x v="3"/>
    <s v="Active"/>
    <x v="2"/>
    <x v="0"/>
  </r>
  <r>
    <n v="731"/>
    <s v="Melissa Carey"/>
    <n v="40"/>
    <x v="2"/>
    <x v="0"/>
    <x v="2"/>
    <n v="6352"/>
    <x v="2"/>
    <x v="228"/>
    <x v="0"/>
    <n v="4"/>
    <x v="2"/>
    <s v="Active"/>
    <x v="2"/>
    <x v="2"/>
  </r>
  <r>
    <n v="732"/>
    <s v="Corey Johnson"/>
    <n v="36"/>
    <x v="2"/>
    <x v="1"/>
    <x v="0"/>
    <n v="7378"/>
    <x v="2"/>
    <x v="234"/>
    <x v="2"/>
    <n v="2"/>
    <x v="4"/>
    <s v="Active"/>
    <x v="1"/>
    <x v="2"/>
  </r>
  <r>
    <n v="734"/>
    <s v="Kevin Green"/>
    <n v="44"/>
    <x v="2"/>
    <x v="1"/>
    <x v="0"/>
    <n v="5551"/>
    <x v="0"/>
    <x v="235"/>
    <x v="3"/>
    <n v="17"/>
    <x v="0"/>
    <s v="Active"/>
    <x v="1"/>
    <x v="0"/>
  </r>
  <r>
    <n v="735"/>
    <s v="Rebecca Padilla"/>
    <n v="44"/>
    <x v="2"/>
    <x v="0"/>
    <x v="1"/>
    <n v="2683"/>
    <x v="1"/>
    <x v="236"/>
    <x v="3"/>
    <n v="3"/>
    <x v="2"/>
    <s v="Active"/>
    <x v="2"/>
    <x v="2"/>
  </r>
  <r>
    <n v="741"/>
    <s v="Christy Berry"/>
    <n v="41"/>
    <x v="2"/>
    <x v="0"/>
    <x v="1"/>
    <n v="8189"/>
    <x v="3"/>
    <x v="237"/>
    <x v="2"/>
    <n v="3"/>
    <x v="2"/>
    <s v="Active"/>
    <x v="1"/>
    <x v="2"/>
  </r>
  <r>
    <n v="744"/>
    <s v="Manuel Ramirez"/>
    <n v="34"/>
    <x v="1"/>
    <x v="0"/>
    <x v="1"/>
    <n v="2786"/>
    <x v="1"/>
    <x v="238"/>
    <x v="1"/>
    <n v="6"/>
    <x v="1"/>
    <s v="Active"/>
    <x v="2"/>
    <x v="1"/>
  </r>
  <r>
    <n v="748"/>
    <s v="Zoe Camacho"/>
    <n v="58"/>
    <x v="3"/>
    <x v="1"/>
    <x v="1"/>
    <n v="2451"/>
    <x v="1"/>
    <x v="239"/>
    <x v="4"/>
    <n v="2"/>
    <x v="4"/>
    <s v="Active"/>
    <x v="0"/>
    <x v="0"/>
  </r>
  <r>
    <n v="750"/>
    <s v="William Garza"/>
    <n v="36"/>
    <x v="2"/>
    <x v="1"/>
    <x v="2"/>
    <n v="2162"/>
    <x v="1"/>
    <x v="240"/>
    <x v="2"/>
    <n v="7"/>
    <x v="1"/>
    <s v="Active"/>
    <x v="0"/>
    <x v="2"/>
  </r>
  <r>
    <n v="751"/>
    <s v="Matthew Anderson"/>
    <n v="45"/>
    <x v="0"/>
    <x v="1"/>
    <x v="2"/>
    <n v="2532"/>
    <x v="1"/>
    <x v="241"/>
    <x v="3"/>
    <n v="7"/>
    <x v="1"/>
    <s v="Active"/>
    <x v="0"/>
    <x v="0"/>
  </r>
  <r>
    <n v="754"/>
    <s v="Kelly Sutton"/>
    <n v="28"/>
    <x v="1"/>
    <x v="0"/>
    <x v="2"/>
    <n v="9146"/>
    <x v="3"/>
    <x v="42"/>
    <x v="5"/>
    <n v="13"/>
    <x v="0"/>
    <s v="Active"/>
    <x v="1"/>
    <x v="1"/>
  </r>
  <r>
    <n v="755"/>
    <s v="Sheri Cortez"/>
    <n v="39"/>
    <x v="2"/>
    <x v="1"/>
    <x v="0"/>
    <n v="8348"/>
    <x v="3"/>
    <x v="242"/>
    <x v="2"/>
    <n v="19"/>
    <x v="0"/>
    <s v="Active"/>
    <x v="1"/>
    <x v="2"/>
  </r>
  <r>
    <n v="757"/>
    <s v="James James"/>
    <n v="38"/>
    <x v="2"/>
    <x v="1"/>
    <x v="1"/>
    <n v="9666"/>
    <x v="3"/>
    <x v="243"/>
    <x v="2"/>
    <n v="15"/>
    <x v="0"/>
    <s v="Active"/>
    <x v="2"/>
    <x v="2"/>
  </r>
  <r>
    <n v="759"/>
    <s v="Matthew Roberts"/>
    <n v="53"/>
    <x v="0"/>
    <x v="1"/>
    <x v="1"/>
    <n v="9917"/>
    <x v="3"/>
    <x v="244"/>
    <x v="1"/>
    <n v="16"/>
    <x v="0"/>
    <s v="Active"/>
    <x v="2"/>
    <x v="1"/>
  </r>
  <r>
    <n v="763"/>
    <s v="Terri Ross"/>
    <n v="51"/>
    <x v="0"/>
    <x v="0"/>
    <x v="2"/>
    <n v="9654"/>
    <x v="3"/>
    <x v="245"/>
    <x v="1"/>
    <n v="11"/>
    <x v="3"/>
    <s v="Active"/>
    <x v="2"/>
    <x v="0"/>
  </r>
  <r>
    <n v="768"/>
    <s v="Paige Hayes"/>
    <n v="27"/>
    <x v="1"/>
    <x v="0"/>
    <x v="1"/>
    <n v="6086"/>
    <x v="2"/>
    <x v="246"/>
    <x v="0"/>
    <n v="1"/>
    <x v="4"/>
    <s v="Active"/>
    <x v="1"/>
    <x v="0"/>
  </r>
  <r>
    <n v="771"/>
    <s v="Daniel Lee"/>
    <n v="64"/>
    <x v="3"/>
    <x v="0"/>
    <x v="1"/>
    <n v="7841"/>
    <x v="2"/>
    <x v="247"/>
    <x v="3"/>
    <n v="14"/>
    <x v="0"/>
    <s v="Active"/>
    <x v="1"/>
    <x v="0"/>
  </r>
  <r>
    <n v="776"/>
    <s v="Emily Price"/>
    <n v="53"/>
    <x v="0"/>
    <x v="1"/>
    <x v="0"/>
    <n v="7659"/>
    <x v="2"/>
    <x v="248"/>
    <x v="3"/>
    <n v="16"/>
    <x v="0"/>
    <s v="Active"/>
    <x v="2"/>
    <x v="1"/>
  </r>
  <r>
    <n v="781"/>
    <s v="Anita Jones"/>
    <n v="44"/>
    <x v="2"/>
    <x v="1"/>
    <x v="2"/>
    <n v="6141"/>
    <x v="2"/>
    <x v="249"/>
    <x v="3"/>
    <n v="1"/>
    <x v="4"/>
    <s v="Active"/>
    <x v="2"/>
    <x v="1"/>
  </r>
  <r>
    <n v="782"/>
    <s v="Sheila Moore"/>
    <n v="18"/>
    <x v="4"/>
    <x v="1"/>
    <x v="0"/>
    <n v="2973"/>
    <x v="1"/>
    <x v="118"/>
    <x v="2"/>
    <n v="4"/>
    <x v="2"/>
    <s v="Active"/>
    <x v="1"/>
    <x v="2"/>
  </r>
  <r>
    <n v="784"/>
    <s v="Danielle Gomez"/>
    <n v="46"/>
    <x v="0"/>
    <x v="1"/>
    <x v="2"/>
    <n v="5031"/>
    <x v="0"/>
    <x v="250"/>
    <x v="2"/>
    <n v="7"/>
    <x v="1"/>
    <s v="Active"/>
    <x v="0"/>
    <x v="2"/>
  </r>
  <r>
    <n v="785"/>
    <s v="Alyssa Harris"/>
    <n v="49"/>
    <x v="0"/>
    <x v="1"/>
    <x v="0"/>
    <n v="4679"/>
    <x v="0"/>
    <x v="251"/>
    <x v="2"/>
    <n v="15"/>
    <x v="0"/>
    <s v="Active"/>
    <x v="1"/>
    <x v="2"/>
  </r>
  <r>
    <n v="793"/>
    <s v="Olivia Butler"/>
    <n v="28"/>
    <x v="1"/>
    <x v="0"/>
    <x v="2"/>
    <n v="9518"/>
    <x v="3"/>
    <x v="252"/>
    <x v="2"/>
    <n v="9"/>
    <x v="3"/>
    <s v="Active"/>
    <x v="2"/>
    <x v="0"/>
  </r>
  <r>
    <n v="794"/>
    <s v="Carrie Clark"/>
    <n v="30"/>
    <x v="1"/>
    <x v="0"/>
    <x v="0"/>
    <n v="2912"/>
    <x v="1"/>
    <x v="253"/>
    <x v="2"/>
    <n v="11"/>
    <x v="3"/>
    <s v="Active"/>
    <x v="0"/>
    <x v="2"/>
  </r>
  <r>
    <n v="799"/>
    <s v="Lori Gray"/>
    <n v="49"/>
    <x v="0"/>
    <x v="0"/>
    <x v="2"/>
    <n v="5690"/>
    <x v="0"/>
    <x v="254"/>
    <x v="2"/>
    <n v="20"/>
    <x v="0"/>
    <s v="Active"/>
    <x v="0"/>
    <x v="2"/>
  </r>
  <r>
    <n v="800"/>
    <s v="Ann Mcdonald"/>
    <n v="52"/>
    <x v="0"/>
    <x v="0"/>
    <x v="0"/>
    <n v="7496"/>
    <x v="2"/>
    <x v="255"/>
    <x v="3"/>
    <n v="6"/>
    <x v="1"/>
    <s v="Active"/>
    <x v="2"/>
    <x v="0"/>
  </r>
  <r>
    <n v="802"/>
    <s v="Cynthia Vasquez"/>
    <n v="52"/>
    <x v="0"/>
    <x v="1"/>
    <x v="1"/>
    <n v="4721"/>
    <x v="0"/>
    <x v="160"/>
    <x v="3"/>
    <n v="7"/>
    <x v="1"/>
    <s v="Active"/>
    <x v="1"/>
    <x v="0"/>
  </r>
  <r>
    <n v="803"/>
    <s v="Lawrence Smith"/>
    <n v="27"/>
    <x v="1"/>
    <x v="1"/>
    <x v="0"/>
    <n v="6247"/>
    <x v="2"/>
    <x v="256"/>
    <x v="0"/>
    <n v="9"/>
    <x v="3"/>
    <s v="Active"/>
    <x v="2"/>
    <x v="2"/>
  </r>
  <r>
    <n v="808"/>
    <s v="Jeremy Cooper"/>
    <n v="58"/>
    <x v="3"/>
    <x v="0"/>
    <x v="0"/>
    <n v="3241"/>
    <x v="1"/>
    <x v="257"/>
    <x v="0"/>
    <n v="6"/>
    <x v="1"/>
    <s v="Active"/>
    <x v="1"/>
    <x v="1"/>
  </r>
  <r>
    <n v="809"/>
    <s v="Matthew Bonilla"/>
    <n v="44"/>
    <x v="2"/>
    <x v="1"/>
    <x v="2"/>
    <n v="9092"/>
    <x v="3"/>
    <x v="258"/>
    <x v="0"/>
    <n v="20"/>
    <x v="0"/>
    <s v="Active"/>
    <x v="1"/>
    <x v="2"/>
  </r>
  <r>
    <n v="810"/>
    <s v="Eric Montgomery"/>
    <n v="60"/>
    <x v="3"/>
    <x v="0"/>
    <x v="0"/>
    <n v="3710"/>
    <x v="1"/>
    <x v="259"/>
    <x v="2"/>
    <n v="19"/>
    <x v="0"/>
    <s v="Active"/>
    <x v="2"/>
    <x v="1"/>
  </r>
  <r>
    <n v="812"/>
    <s v="Jesse Miller"/>
    <n v="52"/>
    <x v="0"/>
    <x v="1"/>
    <x v="0"/>
    <n v="9993"/>
    <x v="3"/>
    <x v="260"/>
    <x v="2"/>
    <n v="12"/>
    <x v="0"/>
    <s v="Active"/>
    <x v="1"/>
    <x v="1"/>
  </r>
  <r>
    <n v="813"/>
    <s v="Mr. Dustin Cross"/>
    <n v="65"/>
    <x v="3"/>
    <x v="0"/>
    <x v="0"/>
    <n v="4716"/>
    <x v="0"/>
    <x v="261"/>
    <x v="5"/>
    <n v="17"/>
    <x v="0"/>
    <s v="Active"/>
    <x v="2"/>
    <x v="1"/>
  </r>
  <r>
    <n v="814"/>
    <s v="Dr. Pamela Key"/>
    <n v="27"/>
    <x v="1"/>
    <x v="0"/>
    <x v="1"/>
    <n v="7359"/>
    <x v="2"/>
    <x v="262"/>
    <x v="2"/>
    <n v="7"/>
    <x v="1"/>
    <s v="Active"/>
    <x v="0"/>
    <x v="0"/>
  </r>
  <r>
    <n v="815"/>
    <s v="Jennifer Ward"/>
    <n v="31"/>
    <x v="1"/>
    <x v="0"/>
    <x v="2"/>
    <n v="3565"/>
    <x v="1"/>
    <x v="263"/>
    <x v="5"/>
    <n v="4"/>
    <x v="2"/>
    <s v="Active"/>
    <x v="0"/>
    <x v="0"/>
  </r>
  <r>
    <n v="820"/>
    <s v="Amber Ward"/>
    <n v="54"/>
    <x v="0"/>
    <x v="0"/>
    <x v="1"/>
    <n v="7880"/>
    <x v="2"/>
    <x v="264"/>
    <x v="3"/>
    <n v="6"/>
    <x v="1"/>
    <s v="Active"/>
    <x v="0"/>
    <x v="0"/>
  </r>
  <r>
    <n v="825"/>
    <s v="Tracy Powers"/>
    <n v="65"/>
    <x v="3"/>
    <x v="0"/>
    <x v="2"/>
    <n v="3535"/>
    <x v="1"/>
    <x v="265"/>
    <x v="2"/>
    <n v="19"/>
    <x v="0"/>
    <s v="Active"/>
    <x v="0"/>
    <x v="2"/>
  </r>
  <r>
    <n v="833"/>
    <s v="Susan Davis"/>
    <n v="54"/>
    <x v="0"/>
    <x v="0"/>
    <x v="1"/>
    <n v="4232"/>
    <x v="0"/>
    <x v="266"/>
    <x v="5"/>
    <n v="3"/>
    <x v="2"/>
    <s v="Active"/>
    <x v="1"/>
    <x v="2"/>
  </r>
  <r>
    <n v="834"/>
    <s v="Michelle Wolfe"/>
    <n v="63"/>
    <x v="3"/>
    <x v="1"/>
    <x v="1"/>
    <n v="6576"/>
    <x v="2"/>
    <x v="267"/>
    <x v="2"/>
    <n v="11"/>
    <x v="3"/>
    <s v="Active"/>
    <x v="2"/>
    <x v="1"/>
  </r>
  <r>
    <n v="846"/>
    <s v="Natasha Harris"/>
    <n v="36"/>
    <x v="2"/>
    <x v="1"/>
    <x v="0"/>
    <n v="4316"/>
    <x v="0"/>
    <x v="268"/>
    <x v="2"/>
    <n v="17"/>
    <x v="0"/>
    <s v="Active"/>
    <x v="1"/>
    <x v="1"/>
  </r>
  <r>
    <n v="850"/>
    <s v="Dr. Shawn Miranda"/>
    <n v="26"/>
    <x v="1"/>
    <x v="1"/>
    <x v="0"/>
    <n v="8255"/>
    <x v="3"/>
    <x v="269"/>
    <x v="2"/>
    <n v="2"/>
    <x v="4"/>
    <s v="Active"/>
    <x v="0"/>
    <x v="1"/>
  </r>
  <r>
    <n v="854"/>
    <s v="Mr. Ryan Beck"/>
    <n v="61"/>
    <x v="3"/>
    <x v="1"/>
    <x v="2"/>
    <n v="5369"/>
    <x v="0"/>
    <x v="270"/>
    <x v="1"/>
    <n v="7"/>
    <x v="1"/>
    <s v="Active"/>
    <x v="2"/>
    <x v="0"/>
  </r>
  <r>
    <n v="855"/>
    <s v="Amy Heath"/>
    <n v="54"/>
    <x v="0"/>
    <x v="1"/>
    <x v="1"/>
    <n v="6897"/>
    <x v="2"/>
    <x v="271"/>
    <x v="0"/>
    <n v="20"/>
    <x v="0"/>
    <s v="Active"/>
    <x v="2"/>
    <x v="1"/>
  </r>
  <r>
    <n v="857"/>
    <s v="Nicholas Guerra"/>
    <n v="23"/>
    <x v="4"/>
    <x v="1"/>
    <x v="0"/>
    <n v="7314"/>
    <x v="2"/>
    <x v="272"/>
    <x v="2"/>
    <n v="17"/>
    <x v="0"/>
    <s v="Active"/>
    <x v="2"/>
    <x v="2"/>
  </r>
  <r>
    <n v="858"/>
    <s v="Sarah Fletcher"/>
    <n v="41"/>
    <x v="2"/>
    <x v="1"/>
    <x v="0"/>
    <n v="9285"/>
    <x v="3"/>
    <x v="273"/>
    <x v="3"/>
    <n v="19"/>
    <x v="0"/>
    <s v="Active"/>
    <x v="0"/>
    <x v="1"/>
  </r>
  <r>
    <n v="862"/>
    <s v="Daniel Duke"/>
    <n v="45"/>
    <x v="0"/>
    <x v="1"/>
    <x v="0"/>
    <n v="4808"/>
    <x v="0"/>
    <x v="154"/>
    <x v="0"/>
    <n v="10"/>
    <x v="3"/>
    <s v="Active"/>
    <x v="2"/>
    <x v="1"/>
  </r>
  <r>
    <n v="863"/>
    <s v="Dana Payne"/>
    <n v="28"/>
    <x v="1"/>
    <x v="1"/>
    <x v="0"/>
    <n v="8191"/>
    <x v="3"/>
    <x v="274"/>
    <x v="2"/>
    <n v="2"/>
    <x v="4"/>
    <s v="Active"/>
    <x v="0"/>
    <x v="2"/>
  </r>
  <r>
    <n v="865"/>
    <s v="Jessica Garcia"/>
    <n v="47"/>
    <x v="0"/>
    <x v="1"/>
    <x v="1"/>
    <n v="8619"/>
    <x v="3"/>
    <x v="275"/>
    <x v="0"/>
    <n v="13"/>
    <x v="0"/>
    <s v="Active"/>
    <x v="2"/>
    <x v="0"/>
  </r>
  <r>
    <n v="867"/>
    <s v="Brent Mendoza"/>
    <n v="22"/>
    <x v="4"/>
    <x v="1"/>
    <x v="1"/>
    <n v="5700"/>
    <x v="0"/>
    <x v="276"/>
    <x v="5"/>
    <n v="16"/>
    <x v="0"/>
    <s v="Active"/>
    <x v="1"/>
    <x v="0"/>
  </r>
  <r>
    <n v="868"/>
    <s v="Daniel Malone"/>
    <n v="55"/>
    <x v="3"/>
    <x v="0"/>
    <x v="1"/>
    <n v="3695"/>
    <x v="1"/>
    <x v="277"/>
    <x v="1"/>
    <n v="6"/>
    <x v="1"/>
    <s v="Active"/>
    <x v="1"/>
    <x v="0"/>
  </r>
  <r>
    <n v="872"/>
    <s v="Anthony Ferguson"/>
    <n v="41"/>
    <x v="2"/>
    <x v="1"/>
    <x v="1"/>
    <n v="7556"/>
    <x v="2"/>
    <x v="278"/>
    <x v="2"/>
    <n v="16"/>
    <x v="0"/>
    <s v="Active"/>
    <x v="0"/>
    <x v="1"/>
  </r>
  <r>
    <n v="880"/>
    <s v="Sarah Thomas"/>
    <n v="54"/>
    <x v="0"/>
    <x v="1"/>
    <x v="2"/>
    <n v="6185"/>
    <x v="2"/>
    <x v="279"/>
    <x v="2"/>
    <n v="1"/>
    <x v="4"/>
    <s v="Active"/>
    <x v="0"/>
    <x v="1"/>
  </r>
  <r>
    <n v="881"/>
    <s v="Mckenzie Moore"/>
    <n v="53"/>
    <x v="0"/>
    <x v="1"/>
    <x v="0"/>
    <n v="8758"/>
    <x v="3"/>
    <x v="280"/>
    <x v="2"/>
    <n v="5"/>
    <x v="1"/>
    <s v="Active"/>
    <x v="1"/>
    <x v="2"/>
  </r>
  <r>
    <n v="883"/>
    <s v="Jaclyn Collins"/>
    <n v="47"/>
    <x v="0"/>
    <x v="1"/>
    <x v="2"/>
    <n v="2029"/>
    <x v="1"/>
    <x v="191"/>
    <x v="2"/>
    <n v="17"/>
    <x v="0"/>
    <s v="Active"/>
    <x v="2"/>
    <x v="2"/>
  </r>
  <r>
    <n v="884"/>
    <s v="Jay Atkinson"/>
    <n v="51"/>
    <x v="0"/>
    <x v="1"/>
    <x v="0"/>
    <n v="7315"/>
    <x v="2"/>
    <x v="281"/>
    <x v="2"/>
    <n v="8"/>
    <x v="3"/>
    <s v="Active"/>
    <x v="1"/>
    <x v="1"/>
  </r>
  <r>
    <n v="885"/>
    <s v="Whitney Chambers"/>
    <n v="65"/>
    <x v="3"/>
    <x v="1"/>
    <x v="1"/>
    <n v="8456"/>
    <x v="3"/>
    <x v="72"/>
    <x v="3"/>
    <n v="14"/>
    <x v="0"/>
    <s v="Active"/>
    <x v="0"/>
    <x v="1"/>
  </r>
  <r>
    <n v="887"/>
    <s v="Christine Hooper"/>
    <n v="43"/>
    <x v="2"/>
    <x v="0"/>
    <x v="2"/>
    <n v="8772"/>
    <x v="3"/>
    <x v="282"/>
    <x v="2"/>
    <n v="6"/>
    <x v="1"/>
    <s v="Active"/>
    <x v="0"/>
    <x v="2"/>
  </r>
  <r>
    <n v="890"/>
    <s v="Vicki Taylor"/>
    <n v="48"/>
    <x v="0"/>
    <x v="0"/>
    <x v="2"/>
    <n v="6114"/>
    <x v="2"/>
    <x v="283"/>
    <x v="1"/>
    <n v="1"/>
    <x v="4"/>
    <s v="Active"/>
    <x v="1"/>
    <x v="0"/>
  </r>
  <r>
    <n v="893"/>
    <s v="Chelsea Hill"/>
    <n v="31"/>
    <x v="1"/>
    <x v="1"/>
    <x v="0"/>
    <n v="4345"/>
    <x v="0"/>
    <x v="284"/>
    <x v="5"/>
    <n v="12"/>
    <x v="0"/>
    <s v="Active"/>
    <x v="2"/>
    <x v="0"/>
  </r>
  <r>
    <n v="895"/>
    <s v="Ruth Randall"/>
    <n v="19"/>
    <x v="4"/>
    <x v="1"/>
    <x v="2"/>
    <n v="8059"/>
    <x v="3"/>
    <x v="285"/>
    <x v="4"/>
    <n v="3"/>
    <x v="2"/>
    <s v="Active"/>
    <x v="2"/>
    <x v="0"/>
  </r>
  <r>
    <n v="896"/>
    <s v="Patricia Lee"/>
    <n v="56"/>
    <x v="3"/>
    <x v="0"/>
    <x v="0"/>
    <n v="3168"/>
    <x v="1"/>
    <x v="286"/>
    <x v="1"/>
    <n v="6"/>
    <x v="1"/>
    <s v="Active"/>
    <x v="0"/>
    <x v="2"/>
  </r>
  <r>
    <n v="898"/>
    <s v="Laura Montgomery"/>
    <n v="56"/>
    <x v="3"/>
    <x v="0"/>
    <x v="1"/>
    <n v="4269"/>
    <x v="0"/>
    <x v="287"/>
    <x v="2"/>
    <n v="13"/>
    <x v="0"/>
    <s v="Active"/>
    <x v="2"/>
    <x v="2"/>
  </r>
  <r>
    <n v="899"/>
    <s v="Tiffany Jordan"/>
    <n v="44"/>
    <x v="2"/>
    <x v="1"/>
    <x v="1"/>
    <n v="9819"/>
    <x v="3"/>
    <x v="288"/>
    <x v="2"/>
    <n v="13"/>
    <x v="0"/>
    <s v="Active"/>
    <x v="0"/>
    <x v="2"/>
  </r>
  <r>
    <n v="901"/>
    <s v="John Rogers"/>
    <n v="29"/>
    <x v="1"/>
    <x v="1"/>
    <x v="0"/>
    <n v="7568"/>
    <x v="2"/>
    <x v="289"/>
    <x v="5"/>
    <n v="17"/>
    <x v="0"/>
    <s v="Active"/>
    <x v="2"/>
    <x v="1"/>
  </r>
  <r>
    <n v="903"/>
    <s v="Christina Henry"/>
    <n v="39"/>
    <x v="2"/>
    <x v="0"/>
    <x v="0"/>
    <n v="6644"/>
    <x v="2"/>
    <x v="290"/>
    <x v="2"/>
    <n v="7"/>
    <x v="1"/>
    <s v="Active"/>
    <x v="1"/>
    <x v="1"/>
  </r>
  <r>
    <n v="911"/>
    <s v="Kimberly Moses"/>
    <n v="49"/>
    <x v="0"/>
    <x v="0"/>
    <x v="2"/>
    <n v="6502"/>
    <x v="2"/>
    <x v="291"/>
    <x v="3"/>
    <n v="1"/>
    <x v="4"/>
    <s v="Active"/>
    <x v="2"/>
    <x v="1"/>
  </r>
  <r>
    <n v="913"/>
    <s v="Courtney Lopez"/>
    <n v="59"/>
    <x v="3"/>
    <x v="0"/>
    <x v="1"/>
    <n v="4875"/>
    <x v="0"/>
    <x v="292"/>
    <x v="2"/>
    <n v="6"/>
    <x v="1"/>
    <s v="Active"/>
    <x v="2"/>
    <x v="1"/>
  </r>
  <r>
    <n v="916"/>
    <s v="Matthew Cole"/>
    <n v="21"/>
    <x v="4"/>
    <x v="0"/>
    <x v="0"/>
    <n v="6900"/>
    <x v="2"/>
    <x v="293"/>
    <x v="2"/>
    <n v="10"/>
    <x v="3"/>
    <s v="Active"/>
    <x v="1"/>
    <x v="2"/>
  </r>
  <r>
    <n v="917"/>
    <s v="Jose Powell"/>
    <n v="50"/>
    <x v="0"/>
    <x v="1"/>
    <x v="2"/>
    <n v="6907"/>
    <x v="2"/>
    <x v="294"/>
    <x v="1"/>
    <n v="4"/>
    <x v="2"/>
    <s v="Active"/>
    <x v="2"/>
    <x v="0"/>
  </r>
  <r>
    <n v="923"/>
    <s v="Joseph Murillo"/>
    <n v="39"/>
    <x v="2"/>
    <x v="1"/>
    <x v="0"/>
    <n v="9553"/>
    <x v="3"/>
    <x v="115"/>
    <x v="2"/>
    <n v="15"/>
    <x v="0"/>
    <s v="Active"/>
    <x v="2"/>
    <x v="2"/>
  </r>
  <r>
    <n v="925"/>
    <s v="Richard Martin"/>
    <n v="38"/>
    <x v="2"/>
    <x v="1"/>
    <x v="1"/>
    <n v="6578"/>
    <x v="2"/>
    <x v="295"/>
    <x v="2"/>
    <n v="1"/>
    <x v="4"/>
    <s v="Active"/>
    <x v="1"/>
    <x v="2"/>
  </r>
  <r>
    <n v="929"/>
    <s v="Christopher Taylor"/>
    <n v="62"/>
    <x v="3"/>
    <x v="0"/>
    <x v="2"/>
    <n v="4876"/>
    <x v="0"/>
    <x v="296"/>
    <x v="2"/>
    <n v="18"/>
    <x v="0"/>
    <s v="Active"/>
    <x v="1"/>
    <x v="0"/>
  </r>
  <r>
    <n v="932"/>
    <s v="Ronald Miller"/>
    <n v="20"/>
    <x v="4"/>
    <x v="1"/>
    <x v="1"/>
    <n v="2850"/>
    <x v="1"/>
    <x v="297"/>
    <x v="0"/>
    <n v="18"/>
    <x v="0"/>
    <s v="Active"/>
    <x v="0"/>
    <x v="0"/>
  </r>
  <r>
    <n v="934"/>
    <s v="Jeanette Mcbride"/>
    <n v="37"/>
    <x v="2"/>
    <x v="1"/>
    <x v="2"/>
    <n v="3364"/>
    <x v="1"/>
    <x v="298"/>
    <x v="0"/>
    <n v="8"/>
    <x v="3"/>
    <s v="Active"/>
    <x v="2"/>
    <x v="1"/>
  </r>
  <r>
    <n v="935"/>
    <s v="Christopher Krause"/>
    <n v="30"/>
    <x v="1"/>
    <x v="1"/>
    <x v="2"/>
    <n v="2735"/>
    <x v="1"/>
    <x v="299"/>
    <x v="2"/>
    <n v="16"/>
    <x v="0"/>
    <s v="Active"/>
    <x v="0"/>
    <x v="1"/>
  </r>
  <r>
    <n v="936"/>
    <s v="Ryan Vazquez"/>
    <n v="62"/>
    <x v="3"/>
    <x v="0"/>
    <x v="1"/>
    <n v="4369"/>
    <x v="0"/>
    <x v="300"/>
    <x v="2"/>
    <n v="17"/>
    <x v="0"/>
    <s v="Active"/>
    <x v="1"/>
    <x v="2"/>
  </r>
  <r>
    <n v="940"/>
    <s v="Joshua Murphy"/>
    <n v="57"/>
    <x v="3"/>
    <x v="0"/>
    <x v="0"/>
    <n v="8927"/>
    <x v="3"/>
    <x v="301"/>
    <x v="2"/>
    <n v="17"/>
    <x v="0"/>
    <s v="Active"/>
    <x v="1"/>
    <x v="0"/>
  </r>
  <r>
    <n v="941"/>
    <s v="Raymond Smith"/>
    <n v="49"/>
    <x v="0"/>
    <x v="1"/>
    <x v="2"/>
    <n v="7068"/>
    <x v="2"/>
    <x v="240"/>
    <x v="2"/>
    <n v="11"/>
    <x v="3"/>
    <s v="Active"/>
    <x v="1"/>
    <x v="2"/>
  </r>
  <r>
    <n v="944"/>
    <s v="Tina Ramos"/>
    <n v="35"/>
    <x v="2"/>
    <x v="1"/>
    <x v="2"/>
    <n v="7251"/>
    <x v="2"/>
    <x v="302"/>
    <x v="3"/>
    <n v="19"/>
    <x v="0"/>
    <s v="Active"/>
    <x v="2"/>
    <x v="1"/>
  </r>
  <r>
    <n v="945"/>
    <s v="Mary Armstrong"/>
    <n v="29"/>
    <x v="1"/>
    <x v="0"/>
    <x v="0"/>
    <n v="9402"/>
    <x v="3"/>
    <x v="303"/>
    <x v="2"/>
    <n v="1"/>
    <x v="4"/>
    <s v="Active"/>
    <x v="0"/>
    <x v="0"/>
  </r>
  <r>
    <n v="952"/>
    <s v="Kevin Pearson"/>
    <n v="43"/>
    <x v="2"/>
    <x v="0"/>
    <x v="2"/>
    <n v="5833"/>
    <x v="0"/>
    <x v="304"/>
    <x v="4"/>
    <n v="15"/>
    <x v="0"/>
    <s v="Active"/>
    <x v="1"/>
    <x v="0"/>
  </r>
  <r>
    <n v="953"/>
    <s v="Carmen Hurley"/>
    <n v="20"/>
    <x v="4"/>
    <x v="1"/>
    <x v="0"/>
    <n v="2786"/>
    <x v="1"/>
    <x v="305"/>
    <x v="1"/>
    <n v="15"/>
    <x v="0"/>
    <s v="Active"/>
    <x v="2"/>
    <x v="2"/>
  </r>
  <r>
    <n v="954"/>
    <s v="Ruth Osborne"/>
    <n v="53"/>
    <x v="0"/>
    <x v="1"/>
    <x v="0"/>
    <n v="5616"/>
    <x v="0"/>
    <x v="306"/>
    <x v="4"/>
    <n v="16"/>
    <x v="0"/>
    <s v="Active"/>
    <x v="2"/>
    <x v="0"/>
  </r>
  <r>
    <n v="962"/>
    <s v="Paula Moreno"/>
    <n v="21"/>
    <x v="4"/>
    <x v="0"/>
    <x v="1"/>
    <n v="3896"/>
    <x v="1"/>
    <x v="307"/>
    <x v="2"/>
    <n v="7"/>
    <x v="1"/>
    <s v="Active"/>
    <x v="1"/>
    <x v="0"/>
  </r>
  <r>
    <n v="963"/>
    <s v="Matthew Rowe"/>
    <n v="65"/>
    <x v="3"/>
    <x v="0"/>
    <x v="1"/>
    <n v="6788"/>
    <x v="2"/>
    <x v="308"/>
    <x v="4"/>
    <n v="6"/>
    <x v="1"/>
    <s v="Active"/>
    <x v="0"/>
    <x v="1"/>
  </r>
  <r>
    <n v="964"/>
    <s v="John Jordan"/>
    <n v="35"/>
    <x v="2"/>
    <x v="1"/>
    <x v="0"/>
    <n v="3433"/>
    <x v="1"/>
    <x v="203"/>
    <x v="4"/>
    <n v="3"/>
    <x v="2"/>
    <s v="Active"/>
    <x v="1"/>
    <x v="0"/>
  </r>
  <r>
    <n v="966"/>
    <s v="Edgar Herrera MD"/>
    <n v="65"/>
    <x v="3"/>
    <x v="0"/>
    <x v="0"/>
    <n v="2959"/>
    <x v="1"/>
    <x v="309"/>
    <x v="2"/>
    <n v="2"/>
    <x v="4"/>
    <s v="Active"/>
    <x v="2"/>
    <x v="1"/>
  </r>
  <r>
    <n v="967"/>
    <s v="Andres Barnett"/>
    <n v="50"/>
    <x v="0"/>
    <x v="0"/>
    <x v="0"/>
    <n v="2736"/>
    <x v="1"/>
    <x v="310"/>
    <x v="1"/>
    <n v="13"/>
    <x v="0"/>
    <s v="Active"/>
    <x v="1"/>
    <x v="1"/>
  </r>
  <r>
    <n v="976"/>
    <s v="Bryce Anderson"/>
    <n v="52"/>
    <x v="0"/>
    <x v="0"/>
    <x v="2"/>
    <n v="2093"/>
    <x v="1"/>
    <x v="311"/>
    <x v="2"/>
    <n v="14"/>
    <x v="0"/>
    <s v="Active"/>
    <x v="0"/>
    <x v="0"/>
  </r>
  <r>
    <n v="977"/>
    <s v="Kimberly Ross"/>
    <n v="19"/>
    <x v="4"/>
    <x v="1"/>
    <x v="1"/>
    <n v="9331"/>
    <x v="3"/>
    <x v="158"/>
    <x v="5"/>
    <n v="12"/>
    <x v="0"/>
    <s v="Active"/>
    <x v="0"/>
    <x v="2"/>
  </r>
  <r>
    <n v="980"/>
    <s v="Crystal Espinoza"/>
    <n v="55"/>
    <x v="3"/>
    <x v="0"/>
    <x v="2"/>
    <n v="4952"/>
    <x v="0"/>
    <x v="312"/>
    <x v="0"/>
    <n v="5"/>
    <x v="1"/>
    <s v="Active"/>
    <x v="1"/>
    <x v="0"/>
  </r>
  <r>
    <n v="982"/>
    <s v="Emily Anderson"/>
    <n v="31"/>
    <x v="1"/>
    <x v="0"/>
    <x v="1"/>
    <n v="4921"/>
    <x v="0"/>
    <x v="313"/>
    <x v="2"/>
    <n v="19"/>
    <x v="0"/>
    <s v="Active"/>
    <x v="0"/>
    <x v="1"/>
  </r>
  <r>
    <n v="987"/>
    <s v="Melissa Bradley"/>
    <n v="39"/>
    <x v="2"/>
    <x v="0"/>
    <x v="2"/>
    <n v="9618"/>
    <x v="3"/>
    <x v="314"/>
    <x v="1"/>
    <n v="13"/>
    <x v="0"/>
    <s v="Active"/>
    <x v="0"/>
    <x v="2"/>
  </r>
  <r>
    <n v="988"/>
    <s v="Danielle Brown"/>
    <n v="31"/>
    <x v="1"/>
    <x v="0"/>
    <x v="2"/>
    <n v="5605"/>
    <x v="0"/>
    <x v="315"/>
    <x v="2"/>
    <n v="1"/>
    <x v="4"/>
    <s v="Active"/>
    <x v="1"/>
    <x v="2"/>
  </r>
  <r>
    <n v="989"/>
    <s v="Hannah Hickman"/>
    <n v="36"/>
    <x v="2"/>
    <x v="0"/>
    <x v="2"/>
    <n v="9118"/>
    <x v="3"/>
    <x v="316"/>
    <x v="5"/>
    <n v="5"/>
    <x v="1"/>
    <s v="Active"/>
    <x v="0"/>
    <x v="0"/>
  </r>
  <r>
    <n v="991"/>
    <s v="Amy Johnston"/>
    <n v="53"/>
    <x v="0"/>
    <x v="0"/>
    <x v="0"/>
    <n v="3991"/>
    <x v="1"/>
    <x v="317"/>
    <x v="4"/>
    <n v="8"/>
    <x v="3"/>
    <s v="Active"/>
    <x v="1"/>
    <x v="2"/>
  </r>
  <r>
    <n v="996"/>
    <s v="Pamela Reeves"/>
    <n v="49"/>
    <x v="0"/>
    <x v="0"/>
    <x v="1"/>
    <n v="7652"/>
    <x v="2"/>
    <x v="318"/>
    <x v="4"/>
    <n v="3"/>
    <x v="2"/>
    <s v="Active"/>
    <x v="2"/>
    <x v="1"/>
  </r>
  <r>
    <n v="998"/>
    <s v="Michael Sanchez"/>
    <n v="18"/>
    <x v="4"/>
    <x v="1"/>
    <x v="1"/>
    <n v="5278"/>
    <x v="0"/>
    <x v="319"/>
    <x v="5"/>
    <n v="3"/>
    <x v="2"/>
    <s v="Active"/>
    <x v="0"/>
    <x v="2"/>
  </r>
  <r>
    <n v="1000"/>
    <s v="Shawn Scott"/>
    <n v="45"/>
    <x v="0"/>
    <x v="1"/>
    <x v="2"/>
    <n v="7364"/>
    <x v="2"/>
    <x v="306"/>
    <x v="0"/>
    <n v="4"/>
    <x v="2"/>
    <s v="Active"/>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DABFF-6FB5-4ACD-A1EA-52140E644891}"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B3:G10" firstHeaderRow="1" firstDataRow="2" firstDataCol="1"/>
  <pivotFields count="15">
    <pivotField showAll="0"/>
    <pivotField showAll="0"/>
    <pivotField showAll="0"/>
    <pivotField showAll="0"/>
    <pivotField showAll="0">
      <items count="3">
        <item x="0"/>
        <item x="1"/>
        <item t="default"/>
      </items>
    </pivotField>
    <pivotField showAll="0"/>
    <pivotField showAll="0"/>
    <pivotField axis="axisCol" dataField="1" showAll="0">
      <items count="5">
        <item x="1"/>
        <item x="0"/>
        <item x="2"/>
        <item x="3"/>
        <item t="default"/>
      </items>
    </pivotField>
    <pivotField numFmtId="14" showAll="0">
      <items count="321">
        <item x="13"/>
        <item x="93"/>
        <item x="292"/>
        <item x="4"/>
        <item x="52"/>
        <item x="140"/>
        <item x="179"/>
        <item x="212"/>
        <item x="0"/>
        <item x="26"/>
        <item x="119"/>
        <item x="131"/>
        <item x="266"/>
        <item x="314"/>
        <item x="128"/>
        <item x="111"/>
        <item x="186"/>
        <item x="77"/>
        <item x="127"/>
        <item x="299"/>
        <item x="298"/>
        <item x="272"/>
        <item x="267"/>
        <item x="51"/>
        <item x="66"/>
        <item x="254"/>
        <item x="183"/>
        <item x="72"/>
        <item x="286"/>
        <item x="25"/>
        <item x="243"/>
        <item x="223"/>
        <item x="225"/>
        <item x="152"/>
        <item x="246"/>
        <item x="277"/>
        <item x="99"/>
        <item x="83"/>
        <item x="1"/>
        <item x="125"/>
        <item x="218"/>
        <item x="71"/>
        <item x="216"/>
        <item x="147"/>
        <item x="116"/>
        <item x="313"/>
        <item x="167"/>
        <item x="293"/>
        <item x="123"/>
        <item x="237"/>
        <item x="164"/>
        <item x="234"/>
        <item x="279"/>
        <item x="197"/>
        <item x="162"/>
        <item x="88"/>
        <item x="87"/>
        <item x="219"/>
        <item x="199"/>
        <item x="261"/>
        <item x="148"/>
        <item x="47"/>
        <item x="207"/>
        <item x="134"/>
        <item x="92"/>
        <item x="102"/>
        <item x="249"/>
        <item x="28"/>
        <item x="244"/>
        <item x="190"/>
        <item x="285"/>
        <item x="238"/>
        <item x="10"/>
        <item x="269"/>
        <item x="114"/>
        <item x="247"/>
        <item x="124"/>
        <item x="22"/>
        <item x="192"/>
        <item x="297"/>
        <item x="68"/>
        <item x="105"/>
        <item x="198"/>
        <item x="38"/>
        <item x="303"/>
        <item x="195"/>
        <item x="64"/>
        <item x="74"/>
        <item x="290"/>
        <item x="188"/>
        <item x="109"/>
        <item x="32"/>
        <item x="7"/>
        <item x="11"/>
        <item x="41"/>
        <item x="142"/>
        <item x="78"/>
        <item x="23"/>
        <item x="46"/>
        <item x="5"/>
        <item x="3"/>
        <item x="115"/>
        <item x="258"/>
        <item x="250"/>
        <item x="189"/>
        <item x="158"/>
        <item x="107"/>
        <item x="122"/>
        <item x="44"/>
        <item x="262"/>
        <item x="175"/>
        <item x="178"/>
        <item x="236"/>
        <item x="172"/>
        <item x="210"/>
        <item x="101"/>
        <item x="151"/>
        <item x="176"/>
        <item x="76"/>
        <item x="169"/>
        <item x="253"/>
        <item x="36"/>
        <item x="136"/>
        <item x="50"/>
        <item x="202"/>
        <item x="63"/>
        <item x="84"/>
        <item x="75"/>
        <item x="165"/>
        <item x="229"/>
        <item x="37"/>
        <item x="181"/>
        <item x="159"/>
        <item x="85"/>
        <item x="24"/>
        <item x="240"/>
        <item x="255"/>
        <item x="118"/>
        <item x="170"/>
        <item x="135"/>
        <item x="110"/>
        <item x="104"/>
        <item x="309"/>
        <item x="61"/>
        <item x="163"/>
        <item x="57"/>
        <item x="67"/>
        <item x="200"/>
        <item x="204"/>
        <item x="171"/>
        <item x="191"/>
        <item x="296"/>
        <item x="154"/>
        <item x="103"/>
        <item x="79"/>
        <item x="141"/>
        <item x="108"/>
        <item x="209"/>
        <item x="182"/>
        <item x="100"/>
        <item x="98"/>
        <item x="265"/>
        <item x="43"/>
        <item x="168"/>
        <item x="228"/>
        <item x="40"/>
        <item x="133"/>
        <item x="287"/>
        <item x="227"/>
        <item x="144"/>
        <item x="150"/>
        <item x="205"/>
        <item x="70"/>
        <item x="69"/>
        <item x="248"/>
        <item x="203"/>
        <item x="311"/>
        <item x="137"/>
        <item x="173"/>
        <item x="89"/>
        <item x="180"/>
        <item x="27"/>
        <item x="239"/>
        <item x="120"/>
        <item x="260"/>
        <item x="49"/>
        <item x="302"/>
        <item x="271"/>
        <item x="33"/>
        <item x="90"/>
        <item x="8"/>
        <item x="65"/>
        <item x="268"/>
        <item x="307"/>
        <item x="224"/>
        <item x="16"/>
        <item x="97"/>
        <item x="35"/>
        <item x="184"/>
        <item x="96"/>
        <item x="60"/>
        <item x="241"/>
        <item x="139"/>
        <item x="206"/>
        <item x="45"/>
        <item x="304"/>
        <item x="283"/>
        <item x="220"/>
        <item x="187"/>
        <item x="166"/>
        <item x="235"/>
        <item x="276"/>
        <item x="20"/>
        <item x="233"/>
        <item x="217"/>
        <item x="153"/>
        <item x="282"/>
        <item x="211"/>
        <item x="149"/>
        <item x="113"/>
        <item x="56"/>
        <item x="106"/>
        <item x="263"/>
        <item x="201"/>
        <item x="185"/>
        <item x="121"/>
        <item x="274"/>
        <item x="62"/>
        <item x="177"/>
        <item x="174"/>
        <item x="9"/>
        <item x="231"/>
        <item x="245"/>
        <item x="291"/>
        <item x="86"/>
        <item x="193"/>
        <item x="58"/>
        <item x="316"/>
        <item x="59"/>
        <item x="288"/>
        <item x="81"/>
        <item x="306"/>
        <item x="80"/>
        <item x="226"/>
        <item x="42"/>
        <item x="214"/>
        <item x="251"/>
        <item x="161"/>
        <item x="82"/>
        <item x="155"/>
        <item x="29"/>
        <item x="54"/>
        <item x="17"/>
        <item x="278"/>
        <item x="31"/>
        <item x="19"/>
        <item x="14"/>
        <item x="132"/>
        <item x="30"/>
        <item x="34"/>
        <item x="215"/>
        <item x="273"/>
        <item x="2"/>
        <item x="194"/>
        <item x="157"/>
        <item x="18"/>
        <item x="6"/>
        <item x="242"/>
        <item x="319"/>
        <item x="259"/>
        <item x="280"/>
        <item x="138"/>
        <item x="55"/>
        <item x="312"/>
        <item x="295"/>
        <item x="257"/>
        <item x="15"/>
        <item x="112"/>
        <item x="91"/>
        <item x="48"/>
        <item x="126"/>
        <item x="143"/>
        <item x="156"/>
        <item x="232"/>
        <item x="160"/>
        <item x="294"/>
        <item x="289"/>
        <item x="308"/>
        <item x="39"/>
        <item x="145"/>
        <item x="208"/>
        <item x="53"/>
        <item x="256"/>
        <item x="270"/>
        <item x="284"/>
        <item x="117"/>
        <item x="318"/>
        <item x="315"/>
        <item x="146"/>
        <item x="73"/>
        <item x="301"/>
        <item x="196"/>
        <item x="12"/>
        <item x="230"/>
        <item x="221"/>
        <item x="275"/>
        <item x="310"/>
        <item x="317"/>
        <item x="264"/>
        <item x="94"/>
        <item x="281"/>
        <item x="252"/>
        <item x="213"/>
        <item x="305"/>
        <item x="130"/>
        <item x="21"/>
        <item x="222"/>
        <item x="95"/>
        <item x="129"/>
        <item x="300"/>
        <item t="default"/>
      </items>
    </pivotField>
    <pivotField showAll="0">
      <items count="7">
        <item x="2"/>
        <item x="1"/>
        <item x="0"/>
        <item x="3"/>
        <item x="4"/>
        <item x="5"/>
        <item t="default"/>
      </items>
    </pivotField>
    <pivotField showAll="0"/>
    <pivotField axis="axisRow" showAll="0">
      <items count="6">
        <item x="3"/>
        <item x="4"/>
        <item x="0"/>
        <item x="2"/>
        <item x="1"/>
        <item t="default"/>
      </items>
    </pivotField>
    <pivotField showAll="0"/>
    <pivotField showAll="0">
      <items count="4">
        <item x="1"/>
        <item x="2"/>
        <item x="0"/>
        <item t="default"/>
      </items>
    </pivotField>
    <pivotField showAll="0">
      <items count="4">
        <item x="1"/>
        <item x="2"/>
        <item x="0"/>
        <item t="default"/>
      </items>
    </pivotField>
  </pivotFields>
  <rowFields count="1">
    <field x="11"/>
  </rowFields>
  <rowItems count="6">
    <i>
      <x/>
    </i>
    <i>
      <x v="1"/>
    </i>
    <i>
      <x v="2"/>
    </i>
    <i>
      <x v="3"/>
    </i>
    <i>
      <x v="4"/>
    </i>
    <i t="grand">
      <x/>
    </i>
  </rowItems>
  <colFields count="1">
    <field x="7"/>
  </colFields>
  <colItems count="5">
    <i>
      <x/>
    </i>
    <i>
      <x v="1"/>
    </i>
    <i>
      <x v="2"/>
    </i>
    <i>
      <x v="3"/>
    </i>
    <i t="grand">
      <x/>
    </i>
  </colItems>
  <dataFields count="1">
    <dataField name="Count of Salary Range" fld="7"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AF50E6-7E17-4771-9F83-7A1CB59FC8AC}"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B54:F61" firstHeaderRow="1" firstDataRow="2" firstDataCol="1"/>
  <pivotFields count="15">
    <pivotField showAll="0"/>
    <pivotField showAll="0"/>
    <pivotField showAll="0"/>
    <pivotField axis="axisRow" showAll="0">
      <items count="6">
        <item x="1"/>
        <item x="0"/>
        <item x="2"/>
        <item x="3"/>
        <item x="4"/>
        <item t="default"/>
      </items>
    </pivotField>
    <pivotField showAll="0">
      <items count="3">
        <item x="0"/>
        <item x="1"/>
        <item t="default"/>
      </items>
    </pivotField>
    <pivotField axis="axisCol" dataField="1" showAll="0">
      <items count="4">
        <item x="0"/>
        <item x="2"/>
        <item x="1"/>
        <item t="default"/>
      </items>
    </pivotField>
    <pivotField showAll="0"/>
    <pivotField showAll="0"/>
    <pivotField numFmtId="14" showAll="0">
      <items count="321">
        <item x="13"/>
        <item x="93"/>
        <item x="292"/>
        <item x="4"/>
        <item x="52"/>
        <item x="140"/>
        <item x="179"/>
        <item x="212"/>
        <item x="0"/>
        <item x="26"/>
        <item x="119"/>
        <item x="131"/>
        <item x="266"/>
        <item x="314"/>
        <item x="128"/>
        <item x="111"/>
        <item x="186"/>
        <item x="77"/>
        <item x="127"/>
        <item x="299"/>
        <item x="298"/>
        <item x="272"/>
        <item x="267"/>
        <item x="51"/>
        <item x="66"/>
        <item x="254"/>
        <item x="183"/>
        <item x="72"/>
        <item x="286"/>
        <item x="25"/>
        <item x="243"/>
        <item x="223"/>
        <item x="225"/>
        <item x="152"/>
        <item x="246"/>
        <item x="277"/>
        <item x="99"/>
        <item x="83"/>
        <item x="1"/>
        <item x="125"/>
        <item x="218"/>
        <item x="71"/>
        <item x="216"/>
        <item x="147"/>
        <item x="116"/>
        <item x="313"/>
        <item x="167"/>
        <item x="293"/>
        <item x="123"/>
        <item x="237"/>
        <item x="164"/>
        <item x="234"/>
        <item x="279"/>
        <item x="197"/>
        <item x="162"/>
        <item x="88"/>
        <item x="87"/>
        <item x="219"/>
        <item x="199"/>
        <item x="261"/>
        <item x="148"/>
        <item x="47"/>
        <item x="207"/>
        <item x="134"/>
        <item x="92"/>
        <item x="102"/>
        <item x="249"/>
        <item x="28"/>
        <item x="244"/>
        <item x="190"/>
        <item x="285"/>
        <item x="238"/>
        <item x="10"/>
        <item x="269"/>
        <item x="114"/>
        <item x="247"/>
        <item x="124"/>
        <item x="22"/>
        <item x="192"/>
        <item x="297"/>
        <item x="68"/>
        <item x="105"/>
        <item x="198"/>
        <item x="38"/>
        <item x="303"/>
        <item x="195"/>
        <item x="64"/>
        <item x="74"/>
        <item x="290"/>
        <item x="188"/>
        <item x="109"/>
        <item x="32"/>
        <item x="7"/>
        <item x="11"/>
        <item x="41"/>
        <item x="142"/>
        <item x="78"/>
        <item x="23"/>
        <item x="46"/>
        <item x="5"/>
        <item x="3"/>
        <item x="115"/>
        <item x="258"/>
        <item x="250"/>
        <item x="189"/>
        <item x="158"/>
        <item x="107"/>
        <item x="122"/>
        <item x="44"/>
        <item x="262"/>
        <item x="175"/>
        <item x="178"/>
        <item x="236"/>
        <item x="172"/>
        <item x="210"/>
        <item x="101"/>
        <item x="151"/>
        <item x="176"/>
        <item x="76"/>
        <item x="169"/>
        <item x="253"/>
        <item x="36"/>
        <item x="136"/>
        <item x="50"/>
        <item x="202"/>
        <item x="63"/>
        <item x="84"/>
        <item x="75"/>
        <item x="165"/>
        <item x="229"/>
        <item x="37"/>
        <item x="181"/>
        <item x="159"/>
        <item x="85"/>
        <item x="24"/>
        <item x="240"/>
        <item x="255"/>
        <item x="118"/>
        <item x="170"/>
        <item x="135"/>
        <item x="110"/>
        <item x="104"/>
        <item x="309"/>
        <item x="61"/>
        <item x="163"/>
        <item x="57"/>
        <item x="67"/>
        <item x="200"/>
        <item x="204"/>
        <item x="171"/>
        <item x="191"/>
        <item x="296"/>
        <item x="154"/>
        <item x="103"/>
        <item x="79"/>
        <item x="141"/>
        <item x="108"/>
        <item x="209"/>
        <item x="182"/>
        <item x="100"/>
        <item x="98"/>
        <item x="265"/>
        <item x="43"/>
        <item x="168"/>
        <item x="228"/>
        <item x="40"/>
        <item x="133"/>
        <item x="287"/>
        <item x="227"/>
        <item x="144"/>
        <item x="150"/>
        <item x="205"/>
        <item x="70"/>
        <item x="69"/>
        <item x="248"/>
        <item x="203"/>
        <item x="311"/>
        <item x="137"/>
        <item x="173"/>
        <item x="89"/>
        <item x="180"/>
        <item x="27"/>
        <item x="239"/>
        <item x="120"/>
        <item x="260"/>
        <item x="49"/>
        <item x="302"/>
        <item x="271"/>
        <item x="33"/>
        <item x="90"/>
        <item x="8"/>
        <item x="65"/>
        <item x="268"/>
        <item x="307"/>
        <item x="224"/>
        <item x="16"/>
        <item x="97"/>
        <item x="35"/>
        <item x="184"/>
        <item x="96"/>
        <item x="60"/>
        <item x="241"/>
        <item x="139"/>
        <item x="206"/>
        <item x="45"/>
        <item x="304"/>
        <item x="283"/>
        <item x="220"/>
        <item x="187"/>
        <item x="166"/>
        <item x="235"/>
        <item x="276"/>
        <item x="20"/>
        <item x="233"/>
        <item x="217"/>
        <item x="153"/>
        <item x="282"/>
        <item x="211"/>
        <item x="149"/>
        <item x="113"/>
        <item x="56"/>
        <item x="106"/>
        <item x="263"/>
        <item x="201"/>
        <item x="185"/>
        <item x="121"/>
        <item x="274"/>
        <item x="62"/>
        <item x="177"/>
        <item x="174"/>
        <item x="9"/>
        <item x="231"/>
        <item x="245"/>
        <item x="291"/>
        <item x="86"/>
        <item x="193"/>
        <item x="58"/>
        <item x="316"/>
        <item x="59"/>
        <item x="288"/>
        <item x="81"/>
        <item x="306"/>
        <item x="80"/>
        <item x="226"/>
        <item x="42"/>
        <item x="214"/>
        <item x="251"/>
        <item x="161"/>
        <item x="82"/>
        <item x="155"/>
        <item x="29"/>
        <item x="54"/>
        <item x="17"/>
        <item x="278"/>
        <item x="31"/>
        <item x="19"/>
        <item x="14"/>
        <item x="132"/>
        <item x="30"/>
        <item x="34"/>
        <item x="215"/>
        <item x="273"/>
        <item x="2"/>
        <item x="194"/>
        <item x="157"/>
        <item x="18"/>
        <item x="6"/>
        <item x="242"/>
        <item x="319"/>
        <item x="259"/>
        <item x="280"/>
        <item x="138"/>
        <item x="55"/>
        <item x="312"/>
        <item x="295"/>
        <item x="257"/>
        <item x="15"/>
        <item x="112"/>
        <item x="91"/>
        <item x="48"/>
        <item x="126"/>
        <item x="143"/>
        <item x="156"/>
        <item x="232"/>
        <item x="160"/>
        <item x="294"/>
        <item x="289"/>
        <item x="308"/>
        <item x="39"/>
        <item x="145"/>
        <item x="208"/>
        <item x="53"/>
        <item x="256"/>
        <item x="270"/>
        <item x="284"/>
        <item x="117"/>
        <item x="318"/>
        <item x="315"/>
        <item x="146"/>
        <item x="73"/>
        <item x="301"/>
        <item x="196"/>
        <item x="12"/>
        <item x="230"/>
        <item x="221"/>
        <item x="275"/>
        <item x="310"/>
        <item x="317"/>
        <item x="264"/>
        <item x="94"/>
        <item x="281"/>
        <item x="252"/>
        <item x="213"/>
        <item x="305"/>
        <item x="130"/>
        <item x="21"/>
        <item x="222"/>
        <item x="95"/>
        <item x="129"/>
        <item x="300"/>
        <item t="default"/>
      </items>
    </pivotField>
    <pivotField showAll="0">
      <items count="7">
        <item x="2"/>
        <item x="1"/>
        <item x="0"/>
        <item x="3"/>
        <item x="4"/>
        <item x="5"/>
        <item t="default"/>
      </items>
    </pivotField>
    <pivotField showAll="0"/>
    <pivotField showAll="0"/>
    <pivotField showAll="0"/>
    <pivotField showAll="0">
      <items count="4">
        <item x="1"/>
        <item x="2"/>
        <item x="0"/>
        <item t="default"/>
      </items>
    </pivotField>
    <pivotField showAll="0">
      <items count="4">
        <item x="1"/>
        <item x="2"/>
        <item x="0"/>
        <item t="default"/>
      </items>
    </pivotField>
  </pivotFields>
  <rowFields count="1">
    <field x="3"/>
  </rowFields>
  <rowItems count="6">
    <i>
      <x/>
    </i>
    <i>
      <x v="1"/>
    </i>
    <i>
      <x v="2"/>
    </i>
    <i>
      <x v="3"/>
    </i>
    <i>
      <x v="4"/>
    </i>
    <i t="grand">
      <x/>
    </i>
  </rowItems>
  <colFields count="1">
    <field x="5"/>
  </colFields>
  <colItems count="4">
    <i>
      <x/>
    </i>
    <i>
      <x v="1"/>
    </i>
    <i>
      <x v="2"/>
    </i>
    <i t="grand">
      <x/>
    </i>
  </colItems>
  <dataFields count="1">
    <dataField name="Count of Department" fld="5" subtotal="count"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0"/>
          </reference>
        </references>
      </pivotArea>
    </chartFormat>
    <chartFormat chart="1" format="4" series="1">
      <pivotArea type="data" outline="0" fieldPosition="0">
        <references count="2">
          <reference field="4294967294" count="1" selected="0">
            <x v="0"/>
          </reference>
          <reference field="5" count="1" selected="0">
            <x v="1"/>
          </reference>
        </references>
      </pivotArea>
    </chartFormat>
    <chartFormat chart="1" format="5"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77F0AA-24BC-4686-A42F-D0DE414AD0E8}"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B32:F39" firstHeaderRow="1" firstDataRow="2" firstDataCol="1"/>
  <pivotFields count="15">
    <pivotField showAll="0"/>
    <pivotField showAll="0"/>
    <pivotField showAll="0"/>
    <pivotField showAll="0"/>
    <pivotField showAll="0">
      <items count="3">
        <item x="0"/>
        <item x="1"/>
        <item t="default"/>
      </items>
    </pivotField>
    <pivotField axis="axisCol" dataField="1" showAll="0">
      <items count="4">
        <item x="0"/>
        <item x="2"/>
        <item x="1"/>
        <item t="default"/>
      </items>
    </pivotField>
    <pivotField showAll="0"/>
    <pivotField showAll="0"/>
    <pivotField numFmtId="14" showAll="0">
      <items count="321">
        <item x="13"/>
        <item x="93"/>
        <item x="292"/>
        <item x="4"/>
        <item x="52"/>
        <item x="140"/>
        <item x="179"/>
        <item x="212"/>
        <item x="0"/>
        <item x="26"/>
        <item x="119"/>
        <item x="131"/>
        <item x="266"/>
        <item x="314"/>
        <item x="128"/>
        <item x="111"/>
        <item x="186"/>
        <item x="77"/>
        <item x="127"/>
        <item x="299"/>
        <item x="298"/>
        <item x="272"/>
        <item x="267"/>
        <item x="51"/>
        <item x="66"/>
        <item x="254"/>
        <item x="183"/>
        <item x="72"/>
        <item x="286"/>
        <item x="25"/>
        <item x="243"/>
        <item x="223"/>
        <item x="225"/>
        <item x="152"/>
        <item x="246"/>
        <item x="277"/>
        <item x="99"/>
        <item x="83"/>
        <item x="1"/>
        <item x="125"/>
        <item x="218"/>
        <item x="71"/>
        <item x="216"/>
        <item x="147"/>
        <item x="116"/>
        <item x="313"/>
        <item x="167"/>
        <item x="293"/>
        <item x="123"/>
        <item x="237"/>
        <item x="164"/>
        <item x="234"/>
        <item x="279"/>
        <item x="197"/>
        <item x="162"/>
        <item x="88"/>
        <item x="87"/>
        <item x="219"/>
        <item x="199"/>
        <item x="261"/>
        <item x="148"/>
        <item x="47"/>
        <item x="207"/>
        <item x="134"/>
        <item x="92"/>
        <item x="102"/>
        <item x="249"/>
        <item x="28"/>
        <item x="244"/>
        <item x="190"/>
        <item x="285"/>
        <item x="238"/>
        <item x="10"/>
        <item x="269"/>
        <item x="114"/>
        <item x="247"/>
        <item x="124"/>
        <item x="22"/>
        <item x="192"/>
        <item x="297"/>
        <item x="68"/>
        <item x="105"/>
        <item x="198"/>
        <item x="38"/>
        <item x="303"/>
        <item x="195"/>
        <item x="64"/>
        <item x="74"/>
        <item x="290"/>
        <item x="188"/>
        <item x="109"/>
        <item x="32"/>
        <item x="7"/>
        <item x="11"/>
        <item x="41"/>
        <item x="142"/>
        <item x="78"/>
        <item x="23"/>
        <item x="46"/>
        <item x="5"/>
        <item x="3"/>
        <item x="115"/>
        <item x="258"/>
        <item x="250"/>
        <item x="189"/>
        <item x="158"/>
        <item x="107"/>
        <item x="122"/>
        <item x="44"/>
        <item x="262"/>
        <item x="175"/>
        <item x="178"/>
        <item x="236"/>
        <item x="172"/>
        <item x="210"/>
        <item x="101"/>
        <item x="151"/>
        <item x="176"/>
        <item x="76"/>
        <item x="169"/>
        <item x="253"/>
        <item x="36"/>
        <item x="136"/>
        <item x="50"/>
        <item x="202"/>
        <item x="63"/>
        <item x="84"/>
        <item x="75"/>
        <item x="165"/>
        <item x="229"/>
        <item x="37"/>
        <item x="181"/>
        <item x="159"/>
        <item x="85"/>
        <item x="24"/>
        <item x="240"/>
        <item x="255"/>
        <item x="118"/>
        <item x="170"/>
        <item x="135"/>
        <item x="110"/>
        <item x="104"/>
        <item x="309"/>
        <item x="61"/>
        <item x="163"/>
        <item x="57"/>
        <item x="67"/>
        <item x="200"/>
        <item x="204"/>
        <item x="171"/>
        <item x="191"/>
        <item x="296"/>
        <item x="154"/>
        <item x="103"/>
        <item x="79"/>
        <item x="141"/>
        <item x="108"/>
        <item x="209"/>
        <item x="182"/>
        <item x="100"/>
        <item x="98"/>
        <item x="265"/>
        <item x="43"/>
        <item x="168"/>
        <item x="228"/>
        <item x="40"/>
        <item x="133"/>
        <item x="287"/>
        <item x="227"/>
        <item x="144"/>
        <item x="150"/>
        <item x="205"/>
        <item x="70"/>
        <item x="69"/>
        <item x="248"/>
        <item x="203"/>
        <item x="311"/>
        <item x="137"/>
        <item x="173"/>
        <item x="89"/>
        <item x="180"/>
        <item x="27"/>
        <item x="239"/>
        <item x="120"/>
        <item x="260"/>
        <item x="49"/>
        <item x="302"/>
        <item x="271"/>
        <item x="33"/>
        <item x="90"/>
        <item x="8"/>
        <item x="65"/>
        <item x="268"/>
        <item x="307"/>
        <item x="224"/>
        <item x="16"/>
        <item x="97"/>
        <item x="35"/>
        <item x="184"/>
        <item x="96"/>
        <item x="60"/>
        <item x="241"/>
        <item x="139"/>
        <item x="206"/>
        <item x="45"/>
        <item x="304"/>
        <item x="283"/>
        <item x="220"/>
        <item x="187"/>
        <item x="166"/>
        <item x="235"/>
        <item x="276"/>
        <item x="20"/>
        <item x="233"/>
        <item x="217"/>
        <item x="153"/>
        <item x="282"/>
        <item x="211"/>
        <item x="149"/>
        <item x="113"/>
        <item x="56"/>
        <item x="106"/>
        <item x="263"/>
        <item x="201"/>
        <item x="185"/>
        <item x="121"/>
        <item x="274"/>
        <item x="62"/>
        <item x="177"/>
        <item x="174"/>
        <item x="9"/>
        <item x="231"/>
        <item x="245"/>
        <item x="291"/>
        <item x="86"/>
        <item x="193"/>
        <item x="58"/>
        <item x="316"/>
        <item x="59"/>
        <item x="288"/>
        <item x="81"/>
        <item x="306"/>
        <item x="80"/>
        <item x="226"/>
        <item x="42"/>
        <item x="214"/>
        <item x="251"/>
        <item x="161"/>
        <item x="82"/>
        <item x="155"/>
        <item x="29"/>
        <item x="54"/>
        <item x="17"/>
        <item x="278"/>
        <item x="31"/>
        <item x="19"/>
        <item x="14"/>
        <item x="132"/>
        <item x="30"/>
        <item x="34"/>
        <item x="215"/>
        <item x="273"/>
        <item x="2"/>
        <item x="194"/>
        <item x="157"/>
        <item x="18"/>
        <item x="6"/>
        <item x="242"/>
        <item x="319"/>
        <item x="259"/>
        <item x="280"/>
        <item x="138"/>
        <item x="55"/>
        <item x="312"/>
        <item x="295"/>
        <item x="257"/>
        <item x="15"/>
        <item x="112"/>
        <item x="91"/>
        <item x="48"/>
        <item x="126"/>
        <item x="143"/>
        <item x="156"/>
        <item x="232"/>
        <item x="160"/>
        <item x="294"/>
        <item x="289"/>
        <item x="308"/>
        <item x="39"/>
        <item x="145"/>
        <item x="208"/>
        <item x="53"/>
        <item x="256"/>
        <item x="270"/>
        <item x="284"/>
        <item x="117"/>
        <item x="318"/>
        <item x="315"/>
        <item x="146"/>
        <item x="73"/>
        <item x="301"/>
        <item x="196"/>
        <item x="12"/>
        <item x="230"/>
        <item x="221"/>
        <item x="275"/>
        <item x="310"/>
        <item x="317"/>
        <item x="264"/>
        <item x="94"/>
        <item x="281"/>
        <item x="252"/>
        <item x="213"/>
        <item x="305"/>
        <item x="130"/>
        <item x="21"/>
        <item x="222"/>
        <item x="95"/>
        <item x="129"/>
        <item x="300"/>
        <item t="default"/>
      </items>
    </pivotField>
    <pivotField showAll="0">
      <items count="7">
        <item x="2"/>
        <item x="1"/>
        <item x="0"/>
        <item x="3"/>
        <item x="4"/>
        <item x="5"/>
        <item t="default"/>
      </items>
    </pivotField>
    <pivotField showAll="0"/>
    <pivotField axis="axisRow" showAll="0">
      <items count="6">
        <item x="3"/>
        <item x="4"/>
        <item x="0"/>
        <item x="2"/>
        <item x="1"/>
        <item t="default"/>
      </items>
    </pivotField>
    <pivotField showAll="0"/>
    <pivotField showAll="0">
      <items count="4">
        <item x="1"/>
        <item x="2"/>
        <item x="0"/>
        <item t="default"/>
      </items>
    </pivotField>
    <pivotField showAll="0">
      <items count="4">
        <item x="1"/>
        <item x="2"/>
        <item x="0"/>
        <item t="default"/>
      </items>
    </pivotField>
  </pivotFields>
  <rowFields count="1">
    <field x="11"/>
  </rowFields>
  <rowItems count="6">
    <i>
      <x/>
    </i>
    <i>
      <x v="1"/>
    </i>
    <i>
      <x v="2"/>
    </i>
    <i>
      <x v="3"/>
    </i>
    <i>
      <x v="4"/>
    </i>
    <i t="grand">
      <x/>
    </i>
  </rowItems>
  <colFields count="1">
    <field x="5"/>
  </colFields>
  <colItems count="4">
    <i>
      <x/>
    </i>
    <i>
      <x v="1"/>
    </i>
    <i>
      <x v="2"/>
    </i>
    <i t="grand">
      <x/>
    </i>
  </colItems>
  <dataFields count="1">
    <dataField name="Count of Department" fld="5" subtotal="count"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39E3E56-46CB-4F96-AF12-6029CAE1C2E6}" sourceName="Location">
  <pivotTables>
    <pivotTable tabId="3" name="PivotTable1"/>
    <pivotTable tabId="3" name="PivotTable2"/>
    <pivotTable tabId="3" name="PivotTable3"/>
  </pivotTables>
  <data>
    <tabular pivotCacheId="147484355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 xr10:uid="{2FFF126E-90E5-4A2E-A10B-7B3774337645}" sourceName="Session">
  <pivotTables>
    <pivotTable tabId="3" name="PivotTable1"/>
    <pivotTable tabId="3" name="PivotTable2"/>
    <pivotTable tabId="3" name="PivotTable3"/>
  </pivotTables>
  <data>
    <tabular pivotCacheId="147484355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37ED8C-27E4-4A58-BF2B-7D435741D64C}" sourceName="Gender">
  <pivotTables>
    <pivotTable tabId="3" name="PivotTable1"/>
    <pivotTable tabId="3" name="PivotTable2"/>
    <pivotTable tabId="3" name="PivotTable3"/>
  </pivotTables>
  <data>
    <tabular pivotCacheId="147484355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4B6E674B-CBEE-44B3-A2A9-0FF113ED7552}" sourceName="Performance Score">
  <pivotTables>
    <pivotTable tabId="3" name="PivotTable1"/>
    <pivotTable tabId="3" name="PivotTable2"/>
    <pivotTable tabId="3" name="PivotTable3"/>
  </pivotTables>
  <data>
    <tabular pivotCacheId="1474843559">
      <items count="6">
        <i x="2" s="1"/>
        <i x="1" s="1"/>
        <i x="0"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77ED38D-BF7F-484C-B3D4-42ACD73770F6}" cache="Slicer_Location" caption="Location" rowHeight="241300"/>
  <slicer name="Session" xr10:uid="{2543DF70-2DA4-4CF6-95EE-967C631ED07B}" cache="Slicer_Session" caption="Session" rowHeight="241300"/>
  <slicer name="Gender" xr10:uid="{1F7C489E-E82F-465E-96FB-7D08BD48A42C}" cache="Slicer_Gender" caption="Gender" rowHeight="241300"/>
  <slicer name="Performance Score" xr10:uid="{31EA38A5-4FA7-4DE8-B987-3EBC3C5F64A4}" cache="Slicer_Performance_Score" caption="Performance Sco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1" xr10:uid="{4BC1CD73-7174-442C-B14D-40E5403E13B7}" sourceName="Joining Date">
  <pivotTables>
    <pivotTable tabId="3" name="PivotTable3"/>
    <pivotTable tabId="3" name="PivotTable1"/>
    <pivotTable tabId="3" name="PivotTable2"/>
  </pivotTables>
  <state minimalRefreshVersion="6" lastRefreshVersion="6" pivotCacheId="1474843559" filterType="unknown">
    <bounds startDate="201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 Date 1" xr10:uid="{01A36359-5723-4957-8DA4-03B2DF4AC64D}" cache="NativeTimeline_Joining_Date1" caption="Joining Date" level="0" selectionLevel="2" scrollPosition="2018-10-25T00:00:00"/>
  <timeline name="Joining Date" xr10:uid="{190CE5FA-5791-44E5-BEB5-6A85F61540FF}" cache="NativeTimeline_Joining_Date1" caption="Joining Date" level="1" selectionLevel="1" scrollPosition="2014-01-0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01"/>
  <sheetViews>
    <sheetView workbookViewId="0">
      <selection activeCell="I967" sqref="I967"/>
    </sheetView>
  </sheetViews>
  <sheetFormatPr defaultColWidth="18.90625"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t="s">
        <v>12</v>
      </c>
      <c r="C2">
        <v>48</v>
      </c>
      <c r="D2" t="s">
        <v>13</v>
      </c>
      <c r="E2" t="s">
        <v>14</v>
      </c>
      <c r="F2">
        <v>5641</v>
      </c>
      <c r="G2" s="1">
        <v>42127</v>
      </c>
      <c r="H2">
        <v>2</v>
      </c>
      <c r="I2">
        <v>16</v>
      </c>
      <c r="J2" t="s">
        <v>15</v>
      </c>
      <c r="K2" t="s">
        <v>16</v>
      </c>
      <c r="L2" t="s">
        <v>17</v>
      </c>
    </row>
    <row r="3" spans="1:12" x14ac:dyDescent="0.35">
      <c r="A3">
        <v>2</v>
      </c>
      <c r="B3" t="s">
        <v>18</v>
      </c>
      <c r="C3">
        <v>25</v>
      </c>
      <c r="D3" t="s">
        <v>19</v>
      </c>
      <c r="E3" t="s">
        <v>20</v>
      </c>
      <c r="F3">
        <v>4249</v>
      </c>
      <c r="G3" s="1">
        <v>44144</v>
      </c>
      <c r="H3">
        <v>2</v>
      </c>
      <c r="I3">
        <v>11</v>
      </c>
      <c r="J3" t="s">
        <v>21</v>
      </c>
      <c r="K3" t="s">
        <v>22</v>
      </c>
      <c r="L3" t="s">
        <v>23</v>
      </c>
    </row>
    <row r="4" spans="1:12" x14ac:dyDescent="0.35">
      <c r="A4">
        <v>3</v>
      </c>
      <c r="B4" t="s">
        <v>24</v>
      </c>
      <c r="C4">
        <v>57</v>
      </c>
      <c r="D4" t="s">
        <v>19</v>
      </c>
      <c r="E4" t="s">
        <v>20</v>
      </c>
      <c r="F4">
        <v>3058</v>
      </c>
      <c r="G4" s="1">
        <v>43508</v>
      </c>
      <c r="I4">
        <v>1</v>
      </c>
      <c r="J4" t="s">
        <v>21</v>
      </c>
      <c r="K4" t="s">
        <v>16</v>
      </c>
      <c r="L4" t="s">
        <v>25</v>
      </c>
    </row>
    <row r="5" spans="1:12" x14ac:dyDescent="0.35">
      <c r="A5">
        <v>4</v>
      </c>
      <c r="B5" t="s">
        <v>26</v>
      </c>
      <c r="C5">
        <v>58</v>
      </c>
      <c r="D5" t="s">
        <v>13</v>
      </c>
      <c r="E5" t="s">
        <v>27</v>
      </c>
      <c r="F5">
        <v>5895</v>
      </c>
      <c r="G5" s="1">
        <v>42986</v>
      </c>
      <c r="H5">
        <v>2</v>
      </c>
      <c r="I5">
        <v>13</v>
      </c>
      <c r="J5" t="s">
        <v>21</v>
      </c>
      <c r="K5" t="s">
        <v>22</v>
      </c>
      <c r="L5" t="s">
        <v>23</v>
      </c>
    </row>
    <row r="6" spans="1:12" x14ac:dyDescent="0.35">
      <c r="A6">
        <v>5</v>
      </c>
      <c r="B6" t="s">
        <v>28</v>
      </c>
      <c r="C6">
        <v>35</v>
      </c>
      <c r="D6" t="s">
        <v>19</v>
      </c>
      <c r="E6" t="s">
        <v>27</v>
      </c>
      <c r="F6">
        <v>4317</v>
      </c>
      <c r="G6" s="1">
        <v>43876</v>
      </c>
      <c r="H6">
        <v>5</v>
      </c>
      <c r="I6">
        <v>16</v>
      </c>
      <c r="J6" t="s">
        <v>21</v>
      </c>
      <c r="K6" t="s">
        <v>16</v>
      </c>
      <c r="L6" t="s">
        <v>23</v>
      </c>
    </row>
    <row r="7" spans="1:12" x14ac:dyDescent="0.35">
      <c r="A7">
        <v>6</v>
      </c>
      <c r="B7" t="s">
        <v>29</v>
      </c>
      <c r="C7">
        <v>29</v>
      </c>
      <c r="D7" t="s">
        <v>13</v>
      </c>
      <c r="E7" t="s">
        <v>14</v>
      </c>
      <c r="F7">
        <v>2591</v>
      </c>
      <c r="G7" s="1">
        <v>42545</v>
      </c>
      <c r="H7">
        <v>1</v>
      </c>
      <c r="I7">
        <v>6</v>
      </c>
      <c r="J7" t="s">
        <v>15</v>
      </c>
      <c r="K7" t="s">
        <v>30</v>
      </c>
      <c r="L7" t="s">
        <v>23</v>
      </c>
    </row>
    <row r="8" spans="1:12" x14ac:dyDescent="0.35">
      <c r="A8">
        <v>7</v>
      </c>
      <c r="B8" t="s">
        <v>31</v>
      </c>
      <c r="C8">
        <v>39</v>
      </c>
      <c r="D8" t="s">
        <v>13</v>
      </c>
      <c r="E8" t="s">
        <v>20</v>
      </c>
      <c r="F8">
        <v>6826</v>
      </c>
      <c r="G8" s="1">
        <v>45057</v>
      </c>
      <c r="H8">
        <v>0</v>
      </c>
      <c r="I8">
        <v>4</v>
      </c>
      <c r="J8" t="s">
        <v>15</v>
      </c>
      <c r="K8" t="s">
        <v>16</v>
      </c>
      <c r="L8" t="s">
        <v>17</v>
      </c>
    </row>
    <row r="9" spans="1:12" x14ac:dyDescent="0.35">
      <c r="A9">
        <v>8</v>
      </c>
      <c r="B9" t="s">
        <v>32</v>
      </c>
      <c r="C9">
        <v>52</v>
      </c>
      <c r="D9" t="s">
        <v>19</v>
      </c>
      <c r="E9" t="s">
        <v>14</v>
      </c>
      <c r="F9">
        <v>6285</v>
      </c>
      <c r="G9" s="1">
        <v>42095</v>
      </c>
      <c r="I9">
        <v>8</v>
      </c>
      <c r="J9" t="s">
        <v>21</v>
      </c>
      <c r="K9" t="s">
        <v>30</v>
      </c>
      <c r="L9" t="s">
        <v>23</v>
      </c>
    </row>
    <row r="10" spans="1:12" x14ac:dyDescent="0.35">
      <c r="A10">
        <v>9</v>
      </c>
      <c r="B10" t="s">
        <v>33</v>
      </c>
      <c r="C10">
        <v>63</v>
      </c>
      <c r="D10" t="s">
        <v>13</v>
      </c>
      <c r="E10" t="s">
        <v>20</v>
      </c>
      <c r="F10">
        <v>9862</v>
      </c>
      <c r="G10" s="1">
        <v>45329</v>
      </c>
      <c r="I10">
        <v>3</v>
      </c>
      <c r="J10" t="s">
        <v>21</v>
      </c>
      <c r="K10" t="s">
        <v>16</v>
      </c>
      <c r="L10" t="s">
        <v>17</v>
      </c>
    </row>
    <row r="11" spans="1:12" x14ac:dyDescent="0.35">
      <c r="A11">
        <v>10</v>
      </c>
      <c r="B11" t="s">
        <v>34</v>
      </c>
      <c r="C11">
        <v>30</v>
      </c>
      <c r="D11" t="s">
        <v>35</v>
      </c>
      <c r="E11" t="s">
        <v>27</v>
      </c>
      <c r="F11">
        <v>8202</v>
      </c>
      <c r="G11" s="1">
        <v>43246</v>
      </c>
      <c r="H11">
        <v>1</v>
      </c>
      <c r="I11">
        <v>9</v>
      </c>
      <c r="J11" t="s">
        <v>15</v>
      </c>
      <c r="K11" t="s">
        <v>22</v>
      </c>
      <c r="L11" t="s">
        <v>25</v>
      </c>
    </row>
    <row r="12" spans="1:12" x14ac:dyDescent="0.35">
      <c r="A12">
        <v>11</v>
      </c>
      <c r="B12" t="s">
        <v>36</v>
      </c>
      <c r="C12">
        <v>42</v>
      </c>
      <c r="D12" t="s">
        <v>13</v>
      </c>
      <c r="E12" t="s">
        <v>20</v>
      </c>
      <c r="F12">
        <v>5336</v>
      </c>
      <c r="G12" s="1">
        <v>42032</v>
      </c>
      <c r="H12">
        <v>3</v>
      </c>
      <c r="I12">
        <v>7</v>
      </c>
      <c r="J12" t="s">
        <v>15</v>
      </c>
      <c r="K12" t="s">
        <v>22</v>
      </c>
      <c r="L12" t="s">
        <v>23</v>
      </c>
    </row>
    <row r="13" spans="1:12" x14ac:dyDescent="0.35">
      <c r="A13">
        <v>12</v>
      </c>
      <c r="B13" t="s">
        <v>37</v>
      </c>
      <c r="C13">
        <v>60</v>
      </c>
      <c r="D13" t="s">
        <v>19</v>
      </c>
      <c r="E13" t="s">
        <v>14</v>
      </c>
      <c r="F13">
        <v>6908</v>
      </c>
      <c r="G13" s="1">
        <v>42077</v>
      </c>
      <c r="H13">
        <v>4</v>
      </c>
      <c r="I13">
        <v>19</v>
      </c>
      <c r="J13" t="s">
        <v>15</v>
      </c>
      <c r="K13" t="s">
        <v>30</v>
      </c>
      <c r="L13" t="s">
        <v>17</v>
      </c>
    </row>
    <row r="14" spans="1:12" x14ac:dyDescent="0.35">
      <c r="A14">
        <v>13</v>
      </c>
      <c r="B14" t="s">
        <v>38</v>
      </c>
      <c r="C14">
        <v>61</v>
      </c>
      <c r="D14" t="s">
        <v>35</v>
      </c>
      <c r="E14" t="s">
        <v>27</v>
      </c>
      <c r="F14">
        <v>5688</v>
      </c>
      <c r="G14" s="1">
        <v>44003</v>
      </c>
      <c r="I14">
        <v>4</v>
      </c>
      <c r="J14" t="s">
        <v>21</v>
      </c>
      <c r="K14" t="s">
        <v>30</v>
      </c>
      <c r="L14" t="s">
        <v>17</v>
      </c>
    </row>
    <row r="15" spans="1:12" x14ac:dyDescent="0.35">
      <c r="A15">
        <v>14</v>
      </c>
      <c r="B15" t="s">
        <v>39</v>
      </c>
      <c r="C15">
        <v>34</v>
      </c>
      <c r="D15" t="s">
        <v>35</v>
      </c>
      <c r="E15" t="s">
        <v>27</v>
      </c>
      <c r="F15">
        <v>5593</v>
      </c>
      <c r="G15" s="1">
        <v>43639</v>
      </c>
      <c r="I15">
        <v>2</v>
      </c>
      <c r="J15" t="s">
        <v>21</v>
      </c>
      <c r="K15" t="s">
        <v>22</v>
      </c>
      <c r="L15" t="s">
        <v>17</v>
      </c>
    </row>
    <row r="16" spans="1:12" x14ac:dyDescent="0.35">
      <c r="A16">
        <v>15</v>
      </c>
      <c r="B16" t="s">
        <v>40</v>
      </c>
      <c r="C16">
        <v>31</v>
      </c>
      <c r="D16" t="s">
        <v>13</v>
      </c>
      <c r="E16" t="s">
        <v>20</v>
      </c>
      <c r="F16">
        <v>8568</v>
      </c>
      <c r="G16" s="1">
        <v>43983</v>
      </c>
      <c r="I16">
        <v>20</v>
      </c>
      <c r="J16" t="s">
        <v>21</v>
      </c>
      <c r="K16" t="s">
        <v>22</v>
      </c>
      <c r="L16" t="s">
        <v>23</v>
      </c>
    </row>
    <row r="17" spans="1:12" x14ac:dyDescent="0.35">
      <c r="A17">
        <v>16</v>
      </c>
      <c r="B17" t="s">
        <v>41</v>
      </c>
      <c r="C17">
        <v>62</v>
      </c>
      <c r="D17" t="s">
        <v>35</v>
      </c>
      <c r="E17" t="s">
        <v>14</v>
      </c>
      <c r="F17">
        <v>5386</v>
      </c>
      <c r="G17" s="1">
        <v>42941</v>
      </c>
      <c r="I17">
        <v>2</v>
      </c>
      <c r="J17" t="s">
        <v>21</v>
      </c>
      <c r="K17" t="s">
        <v>30</v>
      </c>
      <c r="L17" t="s">
        <v>25</v>
      </c>
    </row>
    <row r="18" spans="1:12" x14ac:dyDescent="0.35">
      <c r="A18">
        <v>17</v>
      </c>
      <c r="B18" t="s">
        <v>42</v>
      </c>
      <c r="C18">
        <v>59</v>
      </c>
      <c r="D18" t="s">
        <v>35</v>
      </c>
      <c r="E18" t="s">
        <v>14</v>
      </c>
      <c r="F18">
        <v>6586</v>
      </c>
      <c r="G18" s="1">
        <v>43515</v>
      </c>
      <c r="H18">
        <v>3</v>
      </c>
      <c r="I18">
        <v>7</v>
      </c>
      <c r="J18" t="s">
        <v>21</v>
      </c>
      <c r="K18" t="s">
        <v>22</v>
      </c>
      <c r="L18" t="s">
        <v>23</v>
      </c>
    </row>
    <row r="19" spans="1:12" x14ac:dyDescent="0.35">
      <c r="A19">
        <v>18</v>
      </c>
      <c r="B19" t="s">
        <v>43</v>
      </c>
      <c r="C19">
        <v>31</v>
      </c>
      <c r="D19" t="s">
        <v>13</v>
      </c>
      <c r="E19" t="s">
        <v>14</v>
      </c>
      <c r="F19">
        <v>3519</v>
      </c>
      <c r="G19" s="1">
        <v>43238</v>
      </c>
      <c r="H19">
        <v>4</v>
      </c>
      <c r="I19">
        <v>6</v>
      </c>
      <c r="J19" t="s">
        <v>15</v>
      </c>
      <c r="K19" t="s">
        <v>16</v>
      </c>
      <c r="L19" t="s">
        <v>25</v>
      </c>
    </row>
    <row r="20" spans="1:12" x14ac:dyDescent="0.35">
      <c r="A20">
        <v>19</v>
      </c>
      <c r="B20" t="s">
        <v>44</v>
      </c>
      <c r="C20">
        <v>38</v>
      </c>
      <c r="D20" t="s">
        <v>35</v>
      </c>
      <c r="E20" t="s">
        <v>14</v>
      </c>
      <c r="F20">
        <v>9061</v>
      </c>
      <c r="G20" s="1">
        <v>42932</v>
      </c>
      <c r="H20">
        <v>5</v>
      </c>
      <c r="I20">
        <v>16</v>
      </c>
      <c r="J20" t="s">
        <v>21</v>
      </c>
      <c r="K20" t="s">
        <v>30</v>
      </c>
      <c r="L20" t="s">
        <v>17</v>
      </c>
    </row>
    <row r="21" spans="1:12" x14ac:dyDescent="0.35">
      <c r="A21">
        <v>20</v>
      </c>
      <c r="B21" t="s">
        <v>45</v>
      </c>
      <c r="C21">
        <v>57</v>
      </c>
      <c r="D21" t="s">
        <v>13</v>
      </c>
      <c r="E21" t="s">
        <v>14</v>
      </c>
      <c r="F21">
        <v>7251</v>
      </c>
      <c r="G21" s="1">
        <v>45084</v>
      </c>
      <c r="H21">
        <v>0</v>
      </c>
      <c r="I21">
        <v>10</v>
      </c>
      <c r="J21" t="s">
        <v>15</v>
      </c>
      <c r="K21" t="s">
        <v>22</v>
      </c>
      <c r="L21" t="s">
        <v>23</v>
      </c>
    </row>
    <row r="22" spans="1:12" x14ac:dyDescent="0.35">
      <c r="A22">
        <v>21</v>
      </c>
      <c r="B22" t="s">
        <v>46</v>
      </c>
      <c r="C22">
        <v>35</v>
      </c>
      <c r="D22" t="s">
        <v>35</v>
      </c>
      <c r="E22" t="s">
        <v>20</v>
      </c>
      <c r="F22">
        <v>4565</v>
      </c>
      <c r="G22" s="1">
        <v>43138</v>
      </c>
      <c r="H22">
        <v>0</v>
      </c>
      <c r="I22">
        <v>9</v>
      </c>
      <c r="J22" t="s">
        <v>15</v>
      </c>
      <c r="K22" t="s">
        <v>30</v>
      </c>
      <c r="L22" t="s">
        <v>17</v>
      </c>
    </row>
    <row r="23" spans="1:12" x14ac:dyDescent="0.35">
      <c r="A23">
        <v>22</v>
      </c>
      <c r="B23" t="s">
        <v>47</v>
      </c>
      <c r="C23">
        <v>61</v>
      </c>
      <c r="D23" t="s">
        <v>13</v>
      </c>
      <c r="E23" t="s">
        <v>14</v>
      </c>
      <c r="F23">
        <v>4071</v>
      </c>
      <c r="G23" s="1">
        <v>43955</v>
      </c>
      <c r="H23">
        <v>2</v>
      </c>
      <c r="I23">
        <v>9</v>
      </c>
      <c r="J23" t="s">
        <v>21</v>
      </c>
      <c r="K23" t="s">
        <v>30</v>
      </c>
      <c r="L23" t="s">
        <v>17</v>
      </c>
    </row>
    <row r="24" spans="1:12" x14ac:dyDescent="0.35">
      <c r="A24">
        <v>23</v>
      </c>
      <c r="B24" t="s">
        <v>48</v>
      </c>
      <c r="C24">
        <v>35</v>
      </c>
      <c r="D24" t="s">
        <v>13</v>
      </c>
      <c r="E24" t="s">
        <v>20</v>
      </c>
      <c r="F24">
        <v>9598</v>
      </c>
      <c r="G24" s="1">
        <v>42354</v>
      </c>
      <c r="H24">
        <v>4</v>
      </c>
      <c r="I24">
        <v>4</v>
      </c>
      <c r="J24" t="s">
        <v>21</v>
      </c>
      <c r="K24" t="s">
        <v>16</v>
      </c>
      <c r="L24" t="s">
        <v>17</v>
      </c>
    </row>
    <row r="25" spans="1:12" x14ac:dyDescent="0.35">
      <c r="A25">
        <v>24</v>
      </c>
      <c r="B25" t="s">
        <v>49</v>
      </c>
      <c r="C25">
        <v>31</v>
      </c>
      <c r="D25" t="s">
        <v>13</v>
      </c>
      <c r="E25" t="s">
        <v>14</v>
      </c>
      <c r="F25">
        <v>5386</v>
      </c>
      <c r="G25" s="1">
        <v>44226</v>
      </c>
      <c r="H25">
        <v>0</v>
      </c>
      <c r="I25">
        <v>3</v>
      </c>
      <c r="J25" t="s">
        <v>15</v>
      </c>
      <c r="K25" t="s">
        <v>22</v>
      </c>
      <c r="L25" t="s">
        <v>23</v>
      </c>
    </row>
    <row r="26" spans="1:12" x14ac:dyDescent="0.35">
      <c r="A26">
        <v>25</v>
      </c>
      <c r="B26" t="s">
        <v>50</v>
      </c>
      <c r="C26">
        <v>21</v>
      </c>
      <c r="D26" t="s">
        <v>35</v>
      </c>
      <c r="E26" t="s">
        <v>14</v>
      </c>
      <c r="F26">
        <v>9275</v>
      </c>
      <c r="G26" s="1">
        <v>44660</v>
      </c>
      <c r="H26">
        <v>4</v>
      </c>
      <c r="I26">
        <v>12</v>
      </c>
      <c r="J26" t="s">
        <v>15</v>
      </c>
      <c r="K26" t="s">
        <v>16</v>
      </c>
      <c r="L26" t="s">
        <v>25</v>
      </c>
    </row>
    <row r="27" spans="1:12" x14ac:dyDescent="0.35">
      <c r="A27">
        <v>26</v>
      </c>
      <c r="B27" t="s">
        <v>51</v>
      </c>
      <c r="C27">
        <v>30</v>
      </c>
      <c r="D27" t="s">
        <v>19</v>
      </c>
      <c r="E27" t="s">
        <v>14</v>
      </c>
      <c r="F27">
        <v>6120</v>
      </c>
      <c r="G27" s="1">
        <v>43881</v>
      </c>
      <c r="H27">
        <v>5</v>
      </c>
      <c r="I27">
        <v>7</v>
      </c>
      <c r="J27" t="s">
        <v>15</v>
      </c>
      <c r="K27" t="s">
        <v>16</v>
      </c>
      <c r="L27" t="s">
        <v>23</v>
      </c>
    </row>
    <row r="28" spans="1:12" x14ac:dyDescent="0.35">
      <c r="A28">
        <v>27</v>
      </c>
      <c r="B28" t="s">
        <v>52</v>
      </c>
      <c r="C28">
        <v>20</v>
      </c>
      <c r="D28" t="s">
        <v>13</v>
      </c>
      <c r="E28" t="s">
        <v>27</v>
      </c>
      <c r="F28">
        <v>4899</v>
      </c>
      <c r="G28" s="1">
        <v>45413</v>
      </c>
      <c r="H28">
        <v>5</v>
      </c>
      <c r="I28">
        <v>8</v>
      </c>
      <c r="J28" t="s">
        <v>21</v>
      </c>
      <c r="K28" t="s">
        <v>30</v>
      </c>
      <c r="L28" t="s">
        <v>17</v>
      </c>
    </row>
    <row r="29" spans="1:12" x14ac:dyDescent="0.35">
      <c r="A29">
        <v>28</v>
      </c>
      <c r="B29" t="s">
        <v>53</v>
      </c>
      <c r="C29">
        <v>55</v>
      </c>
      <c r="D29" t="s">
        <v>13</v>
      </c>
      <c r="E29" t="s">
        <v>14</v>
      </c>
      <c r="F29">
        <v>4608</v>
      </c>
      <c r="G29" s="1">
        <v>43288</v>
      </c>
      <c r="I29">
        <v>18</v>
      </c>
      <c r="J29" t="s">
        <v>21</v>
      </c>
      <c r="K29" t="s">
        <v>22</v>
      </c>
      <c r="L29" t="s">
        <v>25</v>
      </c>
    </row>
    <row r="30" spans="1:12" x14ac:dyDescent="0.35">
      <c r="A30">
        <v>29</v>
      </c>
      <c r="B30" t="s">
        <v>54</v>
      </c>
      <c r="C30">
        <v>65</v>
      </c>
      <c r="D30" t="s">
        <v>13</v>
      </c>
      <c r="E30" t="s">
        <v>27</v>
      </c>
      <c r="F30">
        <v>9190</v>
      </c>
      <c r="G30" s="1">
        <v>43766</v>
      </c>
      <c r="I30">
        <v>12</v>
      </c>
      <c r="J30" t="s">
        <v>21</v>
      </c>
      <c r="K30" t="s">
        <v>30</v>
      </c>
      <c r="L30" t="s">
        <v>25</v>
      </c>
    </row>
    <row r="31" spans="1:12" x14ac:dyDescent="0.35">
      <c r="A31">
        <v>30</v>
      </c>
      <c r="B31" t="s">
        <v>55</v>
      </c>
      <c r="C31">
        <v>22</v>
      </c>
      <c r="D31" t="s">
        <v>35</v>
      </c>
      <c r="E31" t="s">
        <v>20</v>
      </c>
      <c r="F31">
        <v>9661</v>
      </c>
      <c r="G31" s="1">
        <v>42600</v>
      </c>
      <c r="H31">
        <v>2</v>
      </c>
      <c r="I31">
        <v>17</v>
      </c>
      <c r="J31" t="s">
        <v>21</v>
      </c>
      <c r="K31" t="s">
        <v>30</v>
      </c>
      <c r="L31" t="s">
        <v>17</v>
      </c>
    </row>
    <row r="32" spans="1:12" x14ac:dyDescent="0.35">
      <c r="A32">
        <v>31</v>
      </c>
      <c r="B32" t="s">
        <v>56</v>
      </c>
      <c r="C32">
        <v>21</v>
      </c>
      <c r="D32" t="s">
        <v>19</v>
      </c>
      <c r="E32" t="s">
        <v>27</v>
      </c>
      <c r="F32">
        <v>4780</v>
      </c>
      <c r="G32" s="1">
        <v>43850</v>
      </c>
      <c r="H32">
        <v>1</v>
      </c>
      <c r="I32">
        <v>7</v>
      </c>
      <c r="J32" t="s">
        <v>21</v>
      </c>
      <c r="K32" t="s">
        <v>16</v>
      </c>
      <c r="L32" t="s">
        <v>17</v>
      </c>
    </row>
    <row r="33" spans="1:12" x14ac:dyDescent="0.35">
      <c r="A33">
        <v>32</v>
      </c>
      <c r="B33" t="s">
        <v>57</v>
      </c>
      <c r="C33">
        <v>63</v>
      </c>
      <c r="D33" t="s">
        <v>19</v>
      </c>
      <c r="E33" t="s">
        <v>20</v>
      </c>
      <c r="F33">
        <v>4270</v>
      </c>
      <c r="G33" s="1">
        <v>44546</v>
      </c>
      <c r="I33">
        <v>20</v>
      </c>
      <c r="J33" t="s">
        <v>21</v>
      </c>
      <c r="K33" t="s">
        <v>22</v>
      </c>
      <c r="L33" t="s">
        <v>25</v>
      </c>
    </row>
    <row r="34" spans="1:12" x14ac:dyDescent="0.35">
      <c r="A34">
        <v>33</v>
      </c>
      <c r="B34" t="s">
        <v>58</v>
      </c>
      <c r="C34">
        <v>65</v>
      </c>
      <c r="D34" t="s">
        <v>19</v>
      </c>
      <c r="E34" t="s">
        <v>20</v>
      </c>
      <c r="F34">
        <v>6547</v>
      </c>
      <c r="G34" s="1">
        <v>45453</v>
      </c>
      <c r="I34">
        <v>10</v>
      </c>
      <c r="J34" t="s">
        <v>15</v>
      </c>
      <c r="K34" t="s">
        <v>30</v>
      </c>
      <c r="L34" t="s">
        <v>23</v>
      </c>
    </row>
    <row r="35" spans="1:12" x14ac:dyDescent="0.35">
      <c r="A35">
        <v>34</v>
      </c>
      <c r="B35" t="s">
        <v>59</v>
      </c>
      <c r="C35">
        <v>42</v>
      </c>
      <c r="D35" t="s">
        <v>13</v>
      </c>
      <c r="E35" t="s">
        <v>27</v>
      </c>
      <c r="F35">
        <v>5207</v>
      </c>
      <c r="G35" s="1">
        <v>42964</v>
      </c>
      <c r="H35">
        <v>1</v>
      </c>
      <c r="I35">
        <v>4</v>
      </c>
      <c r="J35" t="s">
        <v>15</v>
      </c>
      <c r="K35" t="s">
        <v>22</v>
      </c>
      <c r="L35" t="s">
        <v>17</v>
      </c>
    </row>
    <row r="36" spans="1:12" x14ac:dyDescent="0.35">
      <c r="A36">
        <v>35</v>
      </c>
      <c r="B36" t="s">
        <v>60</v>
      </c>
      <c r="C36">
        <v>51</v>
      </c>
      <c r="D36" t="s">
        <v>13</v>
      </c>
      <c r="E36" t="s">
        <v>27</v>
      </c>
      <c r="F36">
        <v>9259</v>
      </c>
      <c r="G36" s="1">
        <v>43004</v>
      </c>
      <c r="H36">
        <v>4</v>
      </c>
      <c r="I36">
        <v>17</v>
      </c>
      <c r="J36" t="s">
        <v>21</v>
      </c>
      <c r="K36" t="s">
        <v>22</v>
      </c>
      <c r="L36" t="s">
        <v>17</v>
      </c>
    </row>
    <row r="37" spans="1:12" x14ac:dyDescent="0.35">
      <c r="A37">
        <v>36</v>
      </c>
      <c r="B37" t="s">
        <v>61</v>
      </c>
      <c r="C37">
        <v>35</v>
      </c>
      <c r="D37" t="s">
        <v>35</v>
      </c>
      <c r="E37" t="s">
        <v>27</v>
      </c>
      <c r="F37">
        <v>9078</v>
      </c>
      <c r="G37" s="1">
        <v>43628</v>
      </c>
      <c r="H37">
        <v>1</v>
      </c>
      <c r="I37">
        <v>7</v>
      </c>
      <c r="J37" t="s">
        <v>21</v>
      </c>
      <c r="K37" t="s">
        <v>22</v>
      </c>
      <c r="L37" t="s">
        <v>23</v>
      </c>
    </row>
    <row r="38" spans="1:12" x14ac:dyDescent="0.35">
      <c r="A38">
        <v>37</v>
      </c>
      <c r="B38" t="s">
        <v>62</v>
      </c>
      <c r="C38">
        <v>39</v>
      </c>
      <c r="D38" t="s">
        <v>35</v>
      </c>
      <c r="E38" t="s">
        <v>20</v>
      </c>
      <c r="F38">
        <v>2364</v>
      </c>
      <c r="G38" s="1">
        <v>43156</v>
      </c>
      <c r="H38">
        <v>1</v>
      </c>
      <c r="I38">
        <v>15</v>
      </c>
      <c r="J38" t="s">
        <v>15</v>
      </c>
      <c r="K38" t="s">
        <v>22</v>
      </c>
      <c r="L38" t="s">
        <v>23</v>
      </c>
    </row>
    <row r="39" spans="1:12" x14ac:dyDescent="0.35">
      <c r="A39">
        <v>38</v>
      </c>
      <c r="B39" t="s">
        <v>63</v>
      </c>
      <c r="C39">
        <v>18</v>
      </c>
      <c r="D39" t="s">
        <v>13</v>
      </c>
      <c r="E39" t="s">
        <v>14</v>
      </c>
      <c r="F39">
        <v>2904</v>
      </c>
      <c r="G39" s="1">
        <v>44297</v>
      </c>
      <c r="H39">
        <v>1</v>
      </c>
      <c r="I39">
        <v>17</v>
      </c>
      <c r="J39" t="s">
        <v>21</v>
      </c>
      <c r="K39" t="s">
        <v>30</v>
      </c>
      <c r="L39" t="s">
        <v>17</v>
      </c>
    </row>
    <row r="40" spans="1:12" x14ac:dyDescent="0.35">
      <c r="A40">
        <v>39</v>
      </c>
      <c r="B40" t="s">
        <v>64</v>
      </c>
      <c r="C40">
        <v>33</v>
      </c>
      <c r="D40" t="s">
        <v>19</v>
      </c>
      <c r="E40" t="s">
        <v>20</v>
      </c>
      <c r="F40">
        <v>8678</v>
      </c>
      <c r="G40" s="1">
        <v>42505</v>
      </c>
      <c r="H40">
        <v>5</v>
      </c>
      <c r="I40">
        <v>9</v>
      </c>
      <c r="J40" t="s">
        <v>15</v>
      </c>
      <c r="K40" t="s">
        <v>22</v>
      </c>
      <c r="L40" t="s">
        <v>23</v>
      </c>
    </row>
    <row r="41" spans="1:12" x14ac:dyDescent="0.35">
      <c r="A41">
        <v>40</v>
      </c>
      <c r="B41" t="s">
        <v>65</v>
      </c>
      <c r="C41">
        <v>36</v>
      </c>
      <c r="D41" t="s">
        <v>35</v>
      </c>
      <c r="E41" t="s">
        <v>14</v>
      </c>
      <c r="F41">
        <v>8870</v>
      </c>
      <c r="G41" s="1">
        <v>45516</v>
      </c>
      <c r="H41">
        <v>4</v>
      </c>
      <c r="I41">
        <v>17</v>
      </c>
      <c r="J41" t="s">
        <v>15</v>
      </c>
      <c r="K41" t="s">
        <v>22</v>
      </c>
      <c r="L41" t="s">
        <v>23</v>
      </c>
    </row>
    <row r="42" spans="1:12" x14ac:dyDescent="0.35">
      <c r="A42">
        <v>41</v>
      </c>
      <c r="B42" t="s">
        <v>66</v>
      </c>
      <c r="C42">
        <v>20</v>
      </c>
      <c r="D42" t="s">
        <v>13</v>
      </c>
      <c r="E42" t="s">
        <v>20</v>
      </c>
      <c r="F42">
        <v>6621</v>
      </c>
      <c r="G42" s="1">
        <v>45320</v>
      </c>
      <c r="I42">
        <v>20</v>
      </c>
      <c r="J42" t="s">
        <v>21</v>
      </c>
      <c r="K42" t="s">
        <v>22</v>
      </c>
      <c r="L42" t="s">
        <v>23</v>
      </c>
    </row>
    <row r="43" spans="1:12" x14ac:dyDescent="0.35">
      <c r="A43">
        <v>42</v>
      </c>
      <c r="B43" t="s">
        <v>67</v>
      </c>
      <c r="C43">
        <v>58</v>
      </c>
      <c r="D43" t="s">
        <v>19</v>
      </c>
      <c r="E43" t="s">
        <v>27</v>
      </c>
      <c r="F43">
        <v>9512</v>
      </c>
      <c r="G43" s="1">
        <v>45606</v>
      </c>
      <c r="I43">
        <v>8</v>
      </c>
      <c r="J43" t="s">
        <v>21</v>
      </c>
      <c r="K43" t="s">
        <v>22</v>
      </c>
      <c r="L43" t="s">
        <v>25</v>
      </c>
    </row>
    <row r="44" spans="1:12" x14ac:dyDescent="0.35">
      <c r="A44">
        <v>43</v>
      </c>
      <c r="B44" t="s">
        <v>68</v>
      </c>
      <c r="C44">
        <v>27</v>
      </c>
      <c r="D44" t="s">
        <v>13</v>
      </c>
      <c r="E44" t="s">
        <v>20</v>
      </c>
      <c r="F44">
        <v>6655</v>
      </c>
      <c r="G44" s="1">
        <v>44491</v>
      </c>
      <c r="I44">
        <v>2</v>
      </c>
      <c r="J44" t="s">
        <v>21</v>
      </c>
      <c r="K44" t="s">
        <v>22</v>
      </c>
      <c r="L44" t="s">
        <v>23</v>
      </c>
    </row>
    <row r="45" spans="1:12" x14ac:dyDescent="0.35">
      <c r="A45">
        <v>44</v>
      </c>
      <c r="B45" t="s">
        <v>69</v>
      </c>
      <c r="C45">
        <v>64</v>
      </c>
      <c r="D45" t="s">
        <v>13</v>
      </c>
      <c r="E45" t="s">
        <v>27</v>
      </c>
      <c r="F45">
        <v>2427</v>
      </c>
      <c r="G45" s="1">
        <v>41992</v>
      </c>
      <c r="H45">
        <v>0</v>
      </c>
      <c r="I45">
        <v>6</v>
      </c>
      <c r="J45" t="s">
        <v>15</v>
      </c>
      <c r="K45" t="s">
        <v>16</v>
      </c>
      <c r="L45" t="s">
        <v>17</v>
      </c>
    </row>
    <row r="46" spans="1:12" x14ac:dyDescent="0.35">
      <c r="A46">
        <v>45</v>
      </c>
      <c r="B46" t="s">
        <v>70</v>
      </c>
      <c r="C46">
        <v>20</v>
      </c>
      <c r="D46" t="s">
        <v>19</v>
      </c>
      <c r="E46" t="s">
        <v>27</v>
      </c>
      <c r="F46">
        <v>4184</v>
      </c>
      <c r="G46" s="1">
        <v>43011</v>
      </c>
      <c r="I46">
        <v>13</v>
      </c>
      <c r="J46" t="s">
        <v>15</v>
      </c>
      <c r="K46" t="s">
        <v>16</v>
      </c>
      <c r="L46" t="s">
        <v>25</v>
      </c>
    </row>
    <row r="47" spans="1:12" x14ac:dyDescent="0.35">
      <c r="A47">
        <v>46</v>
      </c>
      <c r="B47" t="s">
        <v>71</v>
      </c>
      <c r="C47">
        <v>27</v>
      </c>
      <c r="D47" t="s">
        <v>19</v>
      </c>
      <c r="E47" t="s">
        <v>14</v>
      </c>
      <c r="F47">
        <v>4356</v>
      </c>
      <c r="G47" s="1">
        <v>44135</v>
      </c>
      <c r="I47">
        <v>11</v>
      </c>
      <c r="J47" t="s">
        <v>21</v>
      </c>
      <c r="K47" t="s">
        <v>16</v>
      </c>
      <c r="L47" t="s">
        <v>17</v>
      </c>
    </row>
    <row r="48" spans="1:12" x14ac:dyDescent="0.35">
      <c r="A48">
        <v>47</v>
      </c>
      <c r="B48" t="s">
        <v>72</v>
      </c>
      <c r="C48">
        <v>47</v>
      </c>
      <c r="D48" t="s">
        <v>13</v>
      </c>
      <c r="E48" t="s">
        <v>14</v>
      </c>
      <c r="F48">
        <v>7966</v>
      </c>
      <c r="G48" s="1">
        <v>43711</v>
      </c>
      <c r="I48">
        <v>8</v>
      </c>
      <c r="J48" t="s">
        <v>21</v>
      </c>
      <c r="K48" t="s">
        <v>16</v>
      </c>
      <c r="L48" t="s">
        <v>25</v>
      </c>
    </row>
    <row r="49" spans="1:12" x14ac:dyDescent="0.35">
      <c r="A49">
        <v>48</v>
      </c>
      <c r="B49" t="s">
        <v>73</v>
      </c>
      <c r="C49">
        <v>48</v>
      </c>
      <c r="D49" t="s">
        <v>19</v>
      </c>
      <c r="E49" t="s">
        <v>27</v>
      </c>
      <c r="F49">
        <v>5848</v>
      </c>
      <c r="G49" s="1">
        <v>42769</v>
      </c>
      <c r="H49">
        <v>3</v>
      </c>
      <c r="I49">
        <v>2</v>
      </c>
      <c r="J49" t="s">
        <v>15</v>
      </c>
      <c r="K49" t="s">
        <v>22</v>
      </c>
      <c r="L49" t="s">
        <v>17</v>
      </c>
    </row>
    <row r="50" spans="1:12" x14ac:dyDescent="0.35">
      <c r="A50">
        <v>49</v>
      </c>
      <c r="B50" t="s">
        <v>74</v>
      </c>
      <c r="C50">
        <v>46</v>
      </c>
      <c r="D50" t="s">
        <v>35</v>
      </c>
      <c r="E50" t="s">
        <v>20</v>
      </c>
      <c r="F50">
        <v>2773</v>
      </c>
      <c r="G50" s="1">
        <v>44982</v>
      </c>
      <c r="H50">
        <v>4</v>
      </c>
      <c r="I50">
        <v>9</v>
      </c>
      <c r="J50" t="s">
        <v>15</v>
      </c>
      <c r="K50" t="s">
        <v>16</v>
      </c>
      <c r="L50" t="s">
        <v>25</v>
      </c>
    </row>
    <row r="51" spans="1:12" x14ac:dyDescent="0.35">
      <c r="A51">
        <v>50</v>
      </c>
      <c r="B51" t="s">
        <v>75</v>
      </c>
      <c r="C51">
        <v>23</v>
      </c>
      <c r="D51" t="s">
        <v>35</v>
      </c>
      <c r="E51" t="s">
        <v>14</v>
      </c>
      <c r="F51">
        <v>6253</v>
      </c>
      <c r="G51" s="1">
        <v>45190</v>
      </c>
      <c r="H51">
        <v>4</v>
      </c>
      <c r="I51">
        <v>14</v>
      </c>
      <c r="J51" t="s">
        <v>15</v>
      </c>
      <c r="K51" t="s">
        <v>22</v>
      </c>
      <c r="L51" t="s">
        <v>17</v>
      </c>
    </row>
    <row r="52" spans="1:12" x14ac:dyDescent="0.35">
      <c r="A52">
        <v>51</v>
      </c>
      <c r="B52" t="s">
        <v>76</v>
      </c>
      <c r="C52">
        <v>27</v>
      </c>
      <c r="D52" t="s">
        <v>19</v>
      </c>
      <c r="E52" t="s">
        <v>20</v>
      </c>
      <c r="F52">
        <v>3253</v>
      </c>
      <c r="G52" s="1">
        <v>42345</v>
      </c>
      <c r="I52">
        <v>12</v>
      </c>
      <c r="J52" t="s">
        <v>15</v>
      </c>
      <c r="K52" t="s">
        <v>30</v>
      </c>
      <c r="L52" t="s">
        <v>25</v>
      </c>
    </row>
    <row r="53" spans="1:12" x14ac:dyDescent="0.35">
      <c r="A53">
        <v>52</v>
      </c>
      <c r="B53" t="s">
        <v>77</v>
      </c>
      <c r="C53">
        <v>62</v>
      </c>
      <c r="D53" t="s">
        <v>35</v>
      </c>
      <c r="E53" t="s">
        <v>14</v>
      </c>
      <c r="F53">
        <v>6149</v>
      </c>
      <c r="G53" s="1">
        <v>45186</v>
      </c>
      <c r="I53">
        <v>11</v>
      </c>
      <c r="J53" t="s">
        <v>21</v>
      </c>
      <c r="K53" t="s">
        <v>30</v>
      </c>
      <c r="L53" t="s">
        <v>23</v>
      </c>
    </row>
    <row r="54" spans="1:12" x14ac:dyDescent="0.35">
      <c r="A54">
        <v>53</v>
      </c>
      <c r="B54" t="s">
        <v>78</v>
      </c>
      <c r="C54">
        <v>42</v>
      </c>
      <c r="D54" t="s">
        <v>19</v>
      </c>
      <c r="E54" t="s">
        <v>20</v>
      </c>
      <c r="F54">
        <v>6567</v>
      </c>
      <c r="G54" s="1">
        <v>44646</v>
      </c>
      <c r="H54">
        <v>2</v>
      </c>
      <c r="I54">
        <v>19</v>
      </c>
      <c r="J54" t="s">
        <v>21</v>
      </c>
      <c r="K54" t="s">
        <v>22</v>
      </c>
      <c r="L54" t="s">
        <v>25</v>
      </c>
    </row>
    <row r="55" spans="1:12" x14ac:dyDescent="0.35">
      <c r="A55">
        <v>54</v>
      </c>
      <c r="B55" t="s">
        <v>79</v>
      </c>
      <c r="C55">
        <v>62</v>
      </c>
      <c r="D55" t="s">
        <v>19</v>
      </c>
      <c r="E55" t="s">
        <v>20</v>
      </c>
      <c r="F55">
        <v>5721</v>
      </c>
      <c r="G55" s="1">
        <v>43472</v>
      </c>
      <c r="H55">
        <v>5</v>
      </c>
      <c r="I55">
        <v>7</v>
      </c>
      <c r="J55" t="s">
        <v>15</v>
      </c>
      <c r="K55" t="s">
        <v>30</v>
      </c>
      <c r="L55" t="s">
        <v>17</v>
      </c>
    </row>
    <row r="56" spans="1:12" x14ac:dyDescent="0.35">
      <c r="A56">
        <v>55</v>
      </c>
      <c r="B56" t="s">
        <v>80</v>
      </c>
      <c r="C56">
        <v>63</v>
      </c>
      <c r="D56" t="s">
        <v>19</v>
      </c>
      <c r="E56" t="s">
        <v>14</v>
      </c>
      <c r="F56">
        <v>4533</v>
      </c>
      <c r="G56" s="1">
        <v>45210</v>
      </c>
      <c r="H56">
        <v>4</v>
      </c>
      <c r="I56">
        <v>16</v>
      </c>
      <c r="J56" t="s">
        <v>15</v>
      </c>
      <c r="K56" t="s">
        <v>22</v>
      </c>
      <c r="L56" t="s">
        <v>17</v>
      </c>
    </row>
    <row r="57" spans="1:12" x14ac:dyDescent="0.35">
      <c r="A57">
        <v>56</v>
      </c>
      <c r="B57" t="s">
        <v>81</v>
      </c>
      <c r="C57">
        <v>40</v>
      </c>
      <c r="D57" t="s">
        <v>13</v>
      </c>
      <c r="E57" t="s">
        <v>27</v>
      </c>
      <c r="F57">
        <v>8745</v>
      </c>
      <c r="G57" s="1">
        <v>44041</v>
      </c>
      <c r="I57">
        <v>12</v>
      </c>
      <c r="J57" t="s">
        <v>21</v>
      </c>
      <c r="K57" t="s">
        <v>30</v>
      </c>
      <c r="L57" t="s">
        <v>17</v>
      </c>
    </row>
    <row r="58" spans="1:12" x14ac:dyDescent="0.35">
      <c r="A58">
        <v>57</v>
      </c>
      <c r="B58" t="s">
        <v>82</v>
      </c>
      <c r="C58">
        <v>38</v>
      </c>
      <c r="D58" t="s">
        <v>19</v>
      </c>
      <c r="E58" t="s">
        <v>27</v>
      </c>
      <c r="F58">
        <v>4954</v>
      </c>
      <c r="G58" s="1">
        <v>45515</v>
      </c>
      <c r="I58">
        <v>12</v>
      </c>
      <c r="J58" t="s">
        <v>15</v>
      </c>
      <c r="K58" t="s">
        <v>22</v>
      </c>
      <c r="L58" t="s">
        <v>17</v>
      </c>
    </row>
    <row r="59" spans="1:12" x14ac:dyDescent="0.35">
      <c r="A59">
        <v>58</v>
      </c>
      <c r="B59" t="s">
        <v>83</v>
      </c>
      <c r="C59">
        <v>58</v>
      </c>
      <c r="D59" t="s">
        <v>13</v>
      </c>
      <c r="E59" t="s">
        <v>20</v>
      </c>
      <c r="F59">
        <v>3635</v>
      </c>
      <c r="G59" s="1">
        <v>44295</v>
      </c>
      <c r="H59">
        <v>0</v>
      </c>
      <c r="I59">
        <v>7</v>
      </c>
      <c r="J59" t="s">
        <v>15</v>
      </c>
      <c r="K59" t="s">
        <v>16</v>
      </c>
      <c r="L59" t="s">
        <v>17</v>
      </c>
    </row>
    <row r="60" spans="1:12" x14ac:dyDescent="0.35">
      <c r="A60">
        <v>59</v>
      </c>
      <c r="B60" t="s">
        <v>84</v>
      </c>
      <c r="C60">
        <v>57</v>
      </c>
      <c r="D60" t="s">
        <v>35</v>
      </c>
      <c r="E60" t="s">
        <v>20</v>
      </c>
      <c r="F60">
        <v>4651</v>
      </c>
      <c r="G60" s="1">
        <v>43138</v>
      </c>
      <c r="H60">
        <v>0</v>
      </c>
      <c r="I60">
        <v>19</v>
      </c>
      <c r="J60" t="s">
        <v>15</v>
      </c>
      <c r="K60" t="s">
        <v>22</v>
      </c>
      <c r="L60" t="s">
        <v>17</v>
      </c>
    </row>
    <row r="61" spans="1:12" x14ac:dyDescent="0.35">
      <c r="A61">
        <v>60</v>
      </c>
      <c r="B61" t="s">
        <v>85</v>
      </c>
      <c r="C61">
        <v>19</v>
      </c>
      <c r="D61" t="s">
        <v>19</v>
      </c>
      <c r="E61" t="s">
        <v>20</v>
      </c>
      <c r="F61">
        <v>5937</v>
      </c>
      <c r="G61" s="1">
        <v>44298</v>
      </c>
      <c r="H61">
        <v>5</v>
      </c>
      <c r="I61">
        <v>9</v>
      </c>
      <c r="J61" t="s">
        <v>21</v>
      </c>
      <c r="K61" t="s">
        <v>22</v>
      </c>
      <c r="L61" t="s">
        <v>23</v>
      </c>
    </row>
    <row r="62" spans="1:12" x14ac:dyDescent="0.35">
      <c r="A62">
        <v>61</v>
      </c>
      <c r="B62" t="s">
        <v>86</v>
      </c>
      <c r="C62">
        <v>51</v>
      </c>
      <c r="D62" t="s">
        <v>19</v>
      </c>
      <c r="E62" t="s">
        <v>20</v>
      </c>
      <c r="F62">
        <v>8544</v>
      </c>
      <c r="G62" s="1">
        <v>43869</v>
      </c>
      <c r="I62">
        <v>6</v>
      </c>
      <c r="J62" t="s">
        <v>15</v>
      </c>
      <c r="K62" t="s">
        <v>16</v>
      </c>
      <c r="L62" t="s">
        <v>23</v>
      </c>
    </row>
    <row r="63" spans="1:12" x14ac:dyDescent="0.35">
      <c r="A63">
        <v>62</v>
      </c>
      <c r="B63" t="s">
        <v>87</v>
      </c>
      <c r="C63">
        <v>33</v>
      </c>
      <c r="D63" t="s">
        <v>35</v>
      </c>
      <c r="E63" t="s">
        <v>20</v>
      </c>
      <c r="F63">
        <v>2851</v>
      </c>
      <c r="G63" s="1">
        <v>44956</v>
      </c>
      <c r="H63">
        <v>2</v>
      </c>
      <c r="I63">
        <v>11</v>
      </c>
      <c r="J63" t="s">
        <v>15</v>
      </c>
      <c r="K63" t="s">
        <v>30</v>
      </c>
      <c r="L63" t="s">
        <v>25</v>
      </c>
    </row>
    <row r="64" spans="1:12" x14ac:dyDescent="0.35">
      <c r="A64">
        <v>63</v>
      </c>
      <c r="B64" t="s">
        <v>88</v>
      </c>
      <c r="C64">
        <v>57</v>
      </c>
      <c r="D64" t="s">
        <v>13</v>
      </c>
      <c r="E64" t="s">
        <v>27</v>
      </c>
      <c r="F64">
        <v>3933</v>
      </c>
      <c r="G64" s="1">
        <v>45079</v>
      </c>
      <c r="H64">
        <v>0</v>
      </c>
      <c r="I64">
        <v>6</v>
      </c>
      <c r="J64" t="s">
        <v>15</v>
      </c>
      <c r="K64" t="s">
        <v>22</v>
      </c>
      <c r="L64" t="s">
        <v>17</v>
      </c>
    </row>
    <row r="65" spans="1:12" x14ac:dyDescent="0.35">
      <c r="A65">
        <v>64</v>
      </c>
      <c r="B65" t="s">
        <v>89</v>
      </c>
      <c r="C65">
        <v>39</v>
      </c>
      <c r="D65" t="s">
        <v>13</v>
      </c>
      <c r="E65" t="s">
        <v>27</v>
      </c>
      <c r="F65">
        <v>2585</v>
      </c>
      <c r="G65" s="1">
        <v>44974</v>
      </c>
      <c r="H65">
        <v>2</v>
      </c>
      <c r="I65">
        <v>1</v>
      </c>
      <c r="J65" t="s">
        <v>15</v>
      </c>
      <c r="K65" t="s">
        <v>22</v>
      </c>
      <c r="L65" t="s">
        <v>23</v>
      </c>
    </row>
    <row r="66" spans="1:12" x14ac:dyDescent="0.35">
      <c r="A66">
        <v>65</v>
      </c>
      <c r="B66" t="s">
        <v>90</v>
      </c>
      <c r="C66">
        <v>20</v>
      </c>
      <c r="D66" t="s">
        <v>19</v>
      </c>
      <c r="E66" t="s">
        <v>20</v>
      </c>
      <c r="F66">
        <v>3718</v>
      </c>
      <c r="G66" s="1">
        <v>43757</v>
      </c>
      <c r="I66">
        <v>4</v>
      </c>
      <c r="J66" t="s">
        <v>15</v>
      </c>
      <c r="K66" t="s">
        <v>22</v>
      </c>
      <c r="L66" t="s">
        <v>25</v>
      </c>
    </row>
    <row r="67" spans="1:12" x14ac:dyDescent="0.35">
      <c r="A67">
        <v>66</v>
      </c>
      <c r="B67" t="s">
        <v>91</v>
      </c>
      <c r="C67">
        <v>44</v>
      </c>
      <c r="D67" t="s">
        <v>35</v>
      </c>
      <c r="E67" t="s">
        <v>27</v>
      </c>
      <c r="F67">
        <v>2436</v>
      </c>
      <c r="G67" s="1">
        <v>44197</v>
      </c>
      <c r="I67">
        <v>5</v>
      </c>
      <c r="J67" t="s">
        <v>21</v>
      </c>
      <c r="K67" t="s">
        <v>30</v>
      </c>
      <c r="L67" t="s">
        <v>17</v>
      </c>
    </row>
    <row r="68" spans="1:12" x14ac:dyDescent="0.35">
      <c r="A68">
        <v>67</v>
      </c>
      <c r="B68" t="s">
        <v>92</v>
      </c>
      <c r="C68">
        <v>25</v>
      </c>
      <c r="D68" t="s">
        <v>13</v>
      </c>
      <c r="E68" t="s">
        <v>14</v>
      </c>
      <c r="F68">
        <v>7637</v>
      </c>
      <c r="G68" s="1">
        <v>44460</v>
      </c>
      <c r="H68">
        <v>0</v>
      </c>
      <c r="I68">
        <v>4</v>
      </c>
      <c r="J68" t="s">
        <v>15</v>
      </c>
      <c r="K68" t="s">
        <v>22</v>
      </c>
      <c r="L68" t="s">
        <v>17</v>
      </c>
    </row>
    <row r="69" spans="1:12" x14ac:dyDescent="0.35">
      <c r="A69">
        <v>68</v>
      </c>
      <c r="B69" t="s">
        <v>93</v>
      </c>
      <c r="C69">
        <v>27</v>
      </c>
      <c r="D69" t="s">
        <v>35</v>
      </c>
      <c r="E69" t="s">
        <v>14</v>
      </c>
      <c r="F69">
        <v>6921</v>
      </c>
      <c r="G69" s="1">
        <v>45596</v>
      </c>
      <c r="H69">
        <v>2</v>
      </c>
      <c r="I69">
        <v>3</v>
      </c>
      <c r="J69" t="s">
        <v>15</v>
      </c>
      <c r="K69" t="s">
        <v>30</v>
      </c>
      <c r="L69" t="s">
        <v>23</v>
      </c>
    </row>
    <row r="70" spans="1:12" x14ac:dyDescent="0.35">
      <c r="A70">
        <v>69</v>
      </c>
      <c r="B70" t="s">
        <v>94</v>
      </c>
      <c r="C70">
        <v>29</v>
      </c>
      <c r="D70" t="s">
        <v>35</v>
      </c>
      <c r="E70" t="s">
        <v>14</v>
      </c>
      <c r="F70">
        <v>7554</v>
      </c>
      <c r="G70" s="1">
        <v>43027</v>
      </c>
      <c r="H70">
        <v>0</v>
      </c>
      <c r="I70">
        <v>17</v>
      </c>
      <c r="J70" t="s">
        <v>15</v>
      </c>
      <c r="K70" t="s">
        <v>30</v>
      </c>
      <c r="L70" t="s">
        <v>17</v>
      </c>
    </row>
    <row r="71" spans="1:12" x14ac:dyDescent="0.35">
      <c r="A71">
        <v>70</v>
      </c>
      <c r="B71" t="s">
        <v>95</v>
      </c>
      <c r="C71">
        <v>64</v>
      </c>
      <c r="D71" t="s">
        <v>13</v>
      </c>
      <c r="E71" t="s">
        <v>27</v>
      </c>
      <c r="F71">
        <v>2442</v>
      </c>
      <c r="G71" s="1">
        <v>44102</v>
      </c>
      <c r="I71">
        <v>14</v>
      </c>
      <c r="J71" t="s">
        <v>21</v>
      </c>
      <c r="K71" t="s">
        <v>22</v>
      </c>
      <c r="L71" t="s">
        <v>25</v>
      </c>
    </row>
    <row r="72" spans="1:12" x14ac:dyDescent="0.35">
      <c r="A72">
        <v>71</v>
      </c>
      <c r="B72" t="s">
        <v>96</v>
      </c>
      <c r="C72">
        <v>40</v>
      </c>
      <c r="D72" t="s">
        <v>35</v>
      </c>
      <c r="E72" t="s">
        <v>20</v>
      </c>
      <c r="F72">
        <v>2466</v>
      </c>
      <c r="G72" s="1">
        <v>43198</v>
      </c>
      <c r="H72">
        <v>0</v>
      </c>
      <c r="I72">
        <v>15</v>
      </c>
      <c r="J72" t="s">
        <v>15</v>
      </c>
      <c r="K72" t="s">
        <v>30</v>
      </c>
      <c r="L72" t="s">
        <v>23</v>
      </c>
    </row>
    <row r="73" spans="1:12" x14ac:dyDescent="0.35">
      <c r="A73">
        <v>72</v>
      </c>
      <c r="B73" t="s">
        <v>97</v>
      </c>
      <c r="C73">
        <v>45</v>
      </c>
      <c r="D73" t="s">
        <v>13</v>
      </c>
      <c r="E73" t="s">
        <v>20</v>
      </c>
      <c r="F73">
        <v>3897</v>
      </c>
      <c r="G73" s="1">
        <v>43603</v>
      </c>
      <c r="H73">
        <v>4</v>
      </c>
      <c r="I73">
        <v>12</v>
      </c>
      <c r="J73" t="s">
        <v>15</v>
      </c>
      <c r="K73" t="s">
        <v>30</v>
      </c>
      <c r="L73" t="s">
        <v>23</v>
      </c>
    </row>
    <row r="74" spans="1:12" x14ac:dyDescent="0.35">
      <c r="A74">
        <v>73</v>
      </c>
      <c r="B74" t="s">
        <v>98</v>
      </c>
      <c r="C74">
        <v>52</v>
      </c>
      <c r="D74" t="s">
        <v>35</v>
      </c>
      <c r="E74" t="s">
        <v>14</v>
      </c>
      <c r="F74">
        <v>8386</v>
      </c>
      <c r="G74" s="1">
        <v>42466</v>
      </c>
      <c r="H74">
        <v>0</v>
      </c>
      <c r="I74">
        <v>14</v>
      </c>
      <c r="J74" t="s">
        <v>15</v>
      </c>
      <c r="K74" t="s">
        <v>30</v>
      </c>
      <c r="L74" t="s">
        <v>25</v>
      </c>
    </row>
    <row r="75" spans="1:12" x14ac:dyDescent="0.35">
      <c r="A75">
        <v>74</v>
      </c>
      <c r="B75" t="s">
        <v>99</v>
      </c>
      <c r="C75">
        <v>60</v>
      </c>
      <c r="D75" t="s">
        <v>35</v>
      </c>
      <c r="E75" t="s">
        <v>27</v>
      </c>
      <c r="F75">
        <v>3767</v>
      </c>
      <c r="G75" s="1">
        <v>43180</v>
      </c>
      <c r="H75">
        <v>3</v>
      </c>
      <c r="I75">
        <v>3</v>
      </c>
      <c r="J75" t="s">
        <v>21</v>
      </c>
      <c r="K75" t="s">
        <v>22</v>
      </c>
      <c r="L75" t="s">
        <v>17</v>
      </c>
    </row>
    <row r="76" spans="1:12" x14ac:dyDescent="0.35">
      <c r="A76">
        <v>75</v>
      </c>
      <c r="B76" t="s">
        <v>100</v>
      </c>
      <c r="C76">
        <v>18</v>
      </c>
      <c r="D76" t="s">
        <v>13</v>
      </c>
      <c r="E76" t="s">
        <v>20</v>
      </c>
      <c r="F76">
        <v>8622</v>
      </c>
      <c r="G76" s="1">
        <v>45108</v>
      </c>
      <c r="H76">
        <v>1</v>
      </c>
      <c r="I76">
        <v>13</v>
      </c>
      <c r="J76" t="s">
        <v>21</v>
      </c>
      <c r="K76" t="s">
        <v>30</v>
      </c>
      <c r="L76" t="s">
        <v>23</v>
      </c>
    </row>
    <row r="77" spans="1:12" x14ac:dyDescent="0.35">
      <c r="A77">
        <v>76</v>
      </c>
      <c r="B77" t="s">
        <v>101</v>
      </c>
      <c r="C77">
        <v>31</v>
      </c>
      <c r="D77" t="s">
        <v>13</v>
      </c>
      <c r="E77" t="s">
        <v>27</v>
      </c>
      <c r="F77">
        <v>8032</v>
      </c>
      <c r="G77" s="1">
        <v>45219</v>
      </c>
      <c r="H77">
        <v>4</v>
      </c>
      <c r="I77">
        <v>11</v>
      </c>
      <c r="J77" t="s">
        <v>21</v>
      </c>
      <c r="K77" t="s">
        <v>16</v>
      </c>
      <c r="L77" t="s">
        <v>25</v>
      </c>
    </row>
    <row r="78" spans="1:12" x14ac:dyDescent="0.35">
      <c r="A78">
        <v>77</v>
      </c>
      <c r="B78" t="s">
        <v>102</v>
      </c>
      <c r="C78">
        <v>47</v>
      </c>
      <c r="D78" t="s">
        <v>13</v>
      </c>
      <c r="E78" t="s">
        <v>20</v>
      </c>
      <c r="F78">
        <v>2025</v>
      </c>
      <c r="G78" s="1">
        <v>42138</v>
      </c>
      <c r="H78">
        <v>1</v>
      </c>
      <c r="I78">
        <v>5</v>
      </c>
      <c r="J78" t="s">
        <v>15</v>
      </c>
      <c r="K78" t="s">
        <v>16</v>
      </c>
      <c r="L78" t="s">
        <v>17</v>
      </c>
    </row>
    <row r="79" spans="1:12" x14ac:dyDescent="0.35">
      <c r="A79">
        <v>78</v>
      </c>
      <c r="B79" t="s">
        <v>103</v>
      </c>
      <c r="C79">
        <v>19</v>
      </c>
      <c r="D79" t="s">
        <v>19</v>
      </c>
      <c r="E79" t="s">
        <v>14</v>
      </c>
      <c r="F79">
        <v>4698</v>
      </c>
      <c r="G79" s="1">
        <v>42423</v>
      </c>
      <c r="H79">
        <v>3</v>
      </c>
      <c r="I79">
        <v>15</v>
      </c>
      <c r="J79" t="s">
        <v>21</v>
      </c>
      <c r="K79" t="s">
        <v>30</v>
      </c>
      <c r="L79" t="s">
        <v>17</v>
      </c>
    </row>
    <row r="80" spans="1:12" x14ac:dyDescent="0.35">
      <c r="A80">
        <v>79</v>
      </c>
      <c r="B80" t="s">
        <v>104</v>
      </c>
      <c r="C80">
        <v>56</v>
      </c>
      <c r="D80" t="s">
        <v>35</v>
      </c>
      <c r="E80" t="s">
        <v>14</v>
      </c>
      <c r="F80">
        <v>5457</v>
      </c>
      <c r="G80" s="1">
        <v>42512</v>
      </c>
      <c r="I80">
        <v>11</v>
      </c>
      <c r="J80" t="s">
        <v>21</v>
      </c>
      <c r="K80" t="s">
        <v>30</v>
      </c>
      <c r="L80" t="s">
        <v>23</v>
      </c>
    </row>
    <row r="81" spans="1:12" x14ac:dyDescent="0.35">
      <c r="A81">
        <v>80</v>
      </c>
      <c r="B81" t="s">
        <v>105</v>
      </c>
      <c r="C81">
        <v>39</v>
      </c>
      <c r="D81" t="s">
        <v>19</v>
      </c>
      <c r="E81" t="s">
        <v>27</v>
      </c>
      <c r="F81">
        <v>5562</v>
      </c>
      <c r="G81" s="1">
        <v>43652</v>
      </c>
      <c r="I81">
        <v>7</v>
      </c>
      <c r="J81" t="s">
        <v>21</v>
      </c>
      <c r="K81" t="s">
        <v>16</v>
      </c>
      <c r="L81" t="s">
        <v>23</v>
      </c>
    </row>
    <row r="82" spans="1:12" x14ac:dyDescent="0.35">
      <c r="A82">
        <v>81</v>
      </c>
      <c r="B82" t="s">
        <v>106</v>
      </c>
      <c r="C82">
        <v>28</v>
      </c>
      <c r="D82" t="s">
        <v>13</v>
      </c>
      <c r="E82" t="s">
        <v>14</v>
      </c>
      <c r="F82">
        <v>2077</v>
      </c>
      <c r="G82" s="1">
        <v>44405</v>
      </c>
      <c r="I82">
        <v>11</v>
      </c>
      <c r="J82" t="s">
        <v>21</v>
      </c>
      <c r="K82" t="s">
        <v>22</v>
      </c>
      <c r="L82" t="s">
        <v>25</v>
      </c>
    </row>
    <row r="83" spans="1:12" x14ac:dyDescent="0.35">
      <c r="A83">
        <v>82</v>
      </c>
      <c r="B83" t="s">
        <v>107</v>
      </c>
      <c r="C83">
        <v>62</v>
      </c>
      <c r="D83" t="s">
        <v>35</v>
      </c>
      <c r="E83" t="s">
        <v>14</v>
      </c>
      <c r="F83">
        <v>4292</v>
      </c>
      <c r="G83" s="1">
        <v>44147</v>
      </c>
      <c r="H83">
        <v>2</v>
      </c>
      <c r="I83">
        <v>7</v>
      </c>
      <c r="J83" t="s">
        <v>15</v>
      </c>
      <c r="K83" t="s">
        <v>22</v>
      </c>
      <c r="L83" t="s">
        <v>17</v>
      </c>
    </row>
    <row r="84" spans="1:12" x14ac:dyDescent="0.35">
      <c r="A84">
        <v>83</v>
      </c>
      <c r="B84" t="s">
        <v>108</v>
      </c>
      <c r="C84">
        <v>49</v>
      </c>
      <c r="D84" t="s">
        <v>19</v>
      </c>
      <c r="E84" t="s">
        <v>20</v>
      </c>
      <c r="F84">
        <v>3111</v>
      </c>
      <c r="G84" s="1">
        <v>44137</v>
      </c>
      <c r="I84">
        <v>3</v>
      </c>
      <c r="J84" t="s">
        <v>15</v>
      </c>
      <c r="K84" t="s">
        <v>30</v>
      </c>
      <c r="L84" t="s">
        <v>23</v>
      </c>
    </row>
    <row r="85" spans="1:12" x14ac:dyDescent="0.35">
      <c r="A85">
        <v>84</v>
      </c>
      <c r="B85" t="s">
        <v>109</v>
      </c>
      <c r="C85">
        <v>18</v>
      </c>
      <c r="D85" t="s">
        <v>13</v>
      </c>
      <c r="E85" t="s">
        <v>27</v>
      </c>
      <c r="F85">
        <v>5470</v>
      </c>
      <c r="G85" s="1">
        <v>42909</v>
      </c>
      <c r="H85">
        <v>3</v>
      </c>
      <c r="I85">
        <v>8</v>
      </c>
      <c r="J85" t="s">
        <v>15</v>
      </c>
      <c r="K85" t="s">
        <v>22</v>
      </c>
      <c r="L85" t="s">
        <v>23</v>
      </c>
    </row>
    <row r="86" spans="1:12" x14ac:dyDescent="0.35">
      <c r="A86">
        <v>85</v>
      </c>
      <c r="B86" t="s">
        <v>110</v>
      </c>
      <c r="C86">
        <v>39</v>
      </c>
      <c r="D86" t="s">
        <v>19</v>
      </c>
      <c r="E86" t="s">
        <v>20</v>
      </c>
      <c r="F86">
        <v>3115</v>
      </c>
      <c r="G86" s="1">
        <v>44013</v>
      </c>
      <c r="H86">
        <v>4</v>
      </c>
      <c r="I86">
        <v>4</v>
      </c>
      <c r="J86" t="s">
        <v>15</v>
      </c>
      <c r="K86" t="s">
        <v>30</v>
      </c>
      <c r="L86" t="s">
        <v>23</v>
      </c>
    </row>
    <row r="87" spans="1:12" x14ac:dyDescent="0.35">
      <c r="A87">
        <v>86</v>
      </c>
      <c r="B87" t="s">
        <v>111</v>
      </c>
      <c r="C87">
        <v>29</v>
      </c>
      <c r="D87" t="s">
        <v>19</v>
      </c>
      <c r="E87" t="s">
        <v>27</v>
      </c>
      <c r="F87">
        <v>9901</v>
      </c>
      <c r="G87" s="1">
        <v>43012</v>
      </c>
      <c r="H87">
        <v>2</v>
      </c>
      <c r="I87">
        <v>7</v>
      </c>
      <c r="J87" t="s">
        <v>15</v>
      </c>
      <c r="K87" t="s">
        <v>22</v>
      </c>
      <c r="L87" t="s">
        <v>23</v>
      </c>
    </row>
    <row r="88" spans="1:12" x14ac:dyDescent="0.35">
      <c r="A88">
        <v>87</v>
      </c>
      <c r="B88" t="s">
        <v>112</v>
      </c>
      <c r="C88">
        <v>34</v>
      </c>
      <c r="D88" t="s">
        <v>35</v>
      </c>
      <c r="E88" t="s">
        <v>27</v>
      </c>
      <c r="F88">
        <v>8629</v>
      </c>
      <c r="G88" s="1">
        <v>42012</v>
      </c>
      <c r="I88">
        <v>9</v>
      </c>
      <c r="J88" t="s">
        <v>21</v>
      </c>
      <c r="K88" t="s">
        <v>30</v>
      </c>
      <c r="L88" t="s">
        <v>25</v>
      </c>
    </row>
    <row r="89" spans="1:12" x14ac:dyDescent="0.35">
      <c r="A89">
        <v>88</v>
      </c>
      <c r="B89" t="s">
        <v>113</v>
      </c>
      <c r="C89">
        <v>28</v>
      </c>
      <c r="D89" t="s">
        <v>13</v>
      </c>
      <c r="E89" t="s">
        <v>20</v>
      </c>
      <c r="F89">
        <v>6839</v>
      </c>
      <c r="G89" s="1">
        <v>44933</v>
      </c>
      <c r="H89">
        <v>0</v>
      </c>
      <c r="I89">
        <v>4</v>
      </c>
      <c r="J89" t="s">
        <v>15</v>
      </c>
      <c r="K89" t="s">
        <v>22</v>
      </c>
      <c r="L89" t="s">
        <v>23</v>
      </c>
    </row>
    <row r="90" spans="1:12" x14ac:dyDescent="0.35">
      <c r="A90">
        <v>89</v>
      </c>
      <c r="B90" t="s">
        <v>114</v>
      </c>
      <c r="C90">
        <v>41</v>
      </c>
      <c r="D90" t="s">
        <v>35</v>
      </c>
      <c r="E90" t="s">
        <v>14</v>
      </c>
      <c r="F90">
        <v>6828</v>
      </c>
      <c r="G90" s="1">
        <v>45506</v>
      </c>
      <c r="H90">
        <v>1</v>
      </c>
      <c r="I90">
        <v>10</v>
      </c>
      <c r="J90" t="s">
        <v>21</v>
      </c>
      <c r="K90" t="s">
        <v>30</v>
      </c>
      <c r="L90" t="s">
        <v>17</v>
      </c>
    </row>
    <row r="91" spans="1:12" x14ac:dyDescent="0.35">
      <c r="A91">
        <v>90</v>
      </c>
      <c r="B91" t="s">
        <v>115</v>
      </c>
      <c r="C91">
        <v>60</v>
      </c>
      <c r="D91" t="s">
        <v>13</v>
      </c>
      <c r="E91" t="s">
        <v>20</v>
      </c>
      <c r="F91">
        <v>8710</v>
      </c>
      <c r="G91" s="1">
        <v>44028</v>
      </c>
      <c r="H91">
        <v>2</v>
      </c>
      <c r="I91">
        <v>10</v>
      </c>
      <c r="J91" t="s">
        <v>21</v>
      </c>
      <c r="K91" t="s">
        <v>22</v>
      </c>
      <c r="L91" t="s">
        <v>23</v>
      </c>
    </row>
    <row r="92" spans="1:12" x14ac:dyDescent="0.35">
      <c r="A92">
        <v>91</v>
      </c>
      <c r="B92" t="s">
        <v>116</v>
      </c>
      <c r="C92">
        <v>31</v>
      </c>
      <c r="D92" t="s">
        <v>35</v>
      </c>
      <c r="E92" t="s">
        <v>14</v>
      </c>
      <c r="F92">
        <v>3488</v>
      </c>
      <c r="G92" s="1">
        <v>45001</v>
      </c>
      <c r="H92">
        <v>1</v>
      </c>
      <c r="I92">
        <v>3</v>
      </c>
      <c r="J92" t="s">
        <v>15</v>
      </c>
      <c r="K92" t="s">
        <v>16</v>
      </c>
      <c r="L92" t="s">
        <v>25</v>
      </c>
    </row>
    <row r="93" spans="1:12" x14ac:dyDescent="0.35">
      <c r="A93">
        <v>92</v>
      </c>
      <c r="B93" t="s">
        <v>117</v>
      </c>
      <c r="C93">
        <v>58</v>
      </c>
      <c r="D93" t="s">
        <v>19</v>
      </c>
      <c r="E93" t="s">
        <v>27</v>
      </c>
      <c r="F93">
        <v>5271</v>
      </c>
      <c r="G93" s="1">
        <v>45280</v>
      </c>
      <c r="I93">
        <v>7</v>
      </c>
      <c r="J93" t="s">
        <v>15</v>
      </c>
      <c r="K93" t="s">
        <v>30</v>
      </c>
      <c r="L93" t="s">
        <v>17</v>
      </c>
    </row>
    <row r="94" spans="1:12" x14ac:dyDescent="0.35">
      <c r="A94">
        <v>93</v>
      </c>
      <c r="B94" t="s">
        <v>118</v>
      </c>
      <c r="C94">
        <v>38</v>
      </c>
      <c r="D94" t="s">
        <v>19</v>
      </c>
      <c r="E94" t="s">
        <v>20</v>
      </c>
      <c r="F94">
        <v>4897</v>
      </c>
      <c r="G94" s="1">
        <v>44268</v>
      </c>
      <c r="H94">
        <v>1</v>
      </c>
      <c r="I94">
        <v>4</v>
      </c>
      <c r="J94" t="s">
        <v>21</v>
      </c>
      <c r="K94" t="s">
        <v>30</v>
      </c>
      <c r="L94" t="s">
        <v>25</v>
      </c>
    </row>
    <row r="95" spans="1:12" x14ac:dyDescent="0.35">
      <c r="A95">
        <v>94</v>
      </c>
      <c r="B95" t="s">
        <v>119</v>
      </c>
      <c r="C95">
        <v>21</v>
      </c>
      <c r="D95" t="s">
        <v>13</v>
      </c>
      <c r="E95" t="s">
        <v>27</v>
      </c>
      <c r="F95">
        <v>2860</v>
      </c>
      <c r="G95" s="1">
        <v>44963</v>
      </c>
      <c r="H95">
        <v>4</v>
      </c>
      <c r="I95">
        <v>4</v>
      </c>
      <c r="J95" t="s">
        <v>15</v>
      </c>
      <c r="K95" t="s">
        <v>22</v>
      </c>
      <c r="L95" t="s">
        <v>17</v>
      </c>
    </row>
    <row r="96" spans="1:12" x14ac:dyDescent="0.35">
      <c r="A96">
        <v>95</v>
      </c>
      <c r="B96" t="s">
        <v>120</v>
      </c>
      <c r="C96">
        <v>62</v>
      </c>
      <c r="D96" t="s">
        <v>35</v>
      </c>
      <c r="E96" t="s">
        <v>20</v>
      </c>
      <c r="F96">
        <v>3482</v>
      </c>
      <c r="G96" s="1">
        <v>43129</v>
      </c>
      <c r="H96">
        <v>3</v>
      </c>
      <c r="I96">
        <v>20</v>
      </c>
      <c r="J96" t="s">
        <v>15</v>
      </c>
      <c r="K96" t="s">
        <v>16</v>
      </c>
      <c r="L96" t="s">
        <v>17</v>
      </c>
    </row>
    <row r="97" spans="1:12" x14ac:dyDescent="0.35">
      <c r="A97">
        <v>96</v>
      </c>
      <c r="B97" t="s">
        <v>121</v>
      </c>
      <c r="C97">
        <v>45</v>
      </c>
      <c r="D97" t="s">
        <v>19</v>
      </c>
      <c r="E97" t="s">
        <v>14</v>
      </c>
      <c r="F97">
        <v>3427</v>
      </c>
      <c r="G97" s="1">
        <v>45451</v>
      </c>
      <c r="I97">
        <v>8</v>
      </c>
      <c r="J97" t="s">
        <v>15</v>
      </c>
      <c r="K97" t="s">
        <v>30</v>
      </c>
      <c r="L97" t="s">
        <v>23</v>
      </c>
    </row>
    <row r="98" spans="1:12" x14ac:dyDescent="0.35">
      <c r="A98">
        <v>97</v>
      </c>
      <c r="B98" t="s">
        <v>122</v>
      </c>
      <c r="C98">
        <v>22</v>
      </c>
      <c r="D98" t="s">
        <v>35</v>
      </c>
      <c r="E98" t="s">
        <v>20</v>
      </c>
      <c r="F98">
        <v>5432</v>
      </c>
      <c r="G98" s="1">
        <v>42749</v>
      </c>
      <c r="I98">
        <v>14</v>
      </c>
      <c r="J98" t="s">
        <v>21</v>
      </c>
      <c r="K98" t="s">
        <v>22</v>
      </c>
      <c r="L98" t="s">
        <v>25</v>
      </c>
    </row>
    <row r="99" spans="1:12" x14ac:dyDescent="0.35">
      <c r="A99">
        <v>98</v>
      </c>
      <c r="B99" t="s">
        <v>123</v>
      </c>
      <c r="C99">
        <v>33</v>
      </c>
      <c r="D99" t="s">
        <v>13</v>
      </c>
      <c r="E99" t="s">
        <v>14</v>
      </c>
      <c r="F99">
        <v>2378</v>
      </c>
      <c r="G99" s="1">
        <v>42223</v>
      </c>
      <c r="I99">
        <v>20</v>
      </c>
      <c r="J99" t="s">
        <v>21</v>
      </c>
      <c r="K99" t="s">
        <v>22</v>
      </c>
      <c r="L99" t="s">
        <v>17</v>
      </c>
    </row>
    <row r="100" spans="1:12" x14ac:dyDescent="0.35">
      <c r="A100">
        <v>99</v>
      </c>
      <c r="B100" t="s">
        <v>124</v>
      </c>
      <c r="C100">
        <v>20</v>
      </c>
      <c r="D100" t="s">
        <v>19</v>
      </c>
      <c r="E100" t="s">
        <v>27</v>
      </c>
      <c r="F100">
        <v>6768</v>
      </c>
      <c r="G100" s="1">
        <v>43358</v>
      </c>
      <c r="I100">
        <v>2</v>
      </c>
      <c r="J100" t="s">
        <v>21</v>
      </c>
      <c r="K100" t="s">
        <v>22</v>
      </c>
      <c r="L100" t="s">
        <v>17</v>
      </c>
    </row>
    <row r="101" spans="1:12" x14ac:dyDescent="0.35">
      <c r="A101">
        <v>100</v>
      </c>
      <c r="B101" t="s">
        <v>125</v>
      </c>
      <c r="C101">
        <v>33</v>
      </c>
      <c r="D101" t="s">
        <v>35</v>
      </c>
      <c r="E101" t="s">
        <v>20</v>
      </c>
      <c r="F101">
        <v>8076</v>
      </c>
      <c r="G101" s="1">
        <v>43093</v>
      </c>
      <c r="I101">
        <v>9</v>
      </c>
      <c r="J101" t="s">
        <v>21</v>
      </c>
      <c r="K101" t="s">
        <v>30</v>
      </c>
      <c r="L101" t="s">
        <v>25</v>
      </c>
    </row>
    <row r="102" spans="1:12" x14ac:dyDescent="0.35">
      <c r="A102">
        <v>101</v>
      </c>
      <c r="B102" t="s">
        <v>126</v>
      </c>
      <c r="C102">
        <v>26</v>
      </c>
      <c r="D102" t="s">
        <v>13</v>
      </c>
      <c r="E102" t="s">
        <v>27</v>
      </c>
      <c r="F102">
        <v>9538</v>
      </c>
      <c r="G102" s="1">
        <v>44219</v>
      </c>
      <c r="H102">
        <v>0</v>
      </c>
      <c r="I102">
        <v>3</v>
      </c>
      <c r="J102" t="s">
        <v>15</v>
      </c>
      <c r="K102" t="s">
        <v>16</v>
      </c>
      <c r="L102" t="s">
        <v>25</v>
      </c>
    </row>
    <row r="103" spans="1:12" x14ac:dyDescent="0.35">
      <c r="A103">
        <v>102</v>
      </c>
      <c r="B103" t="s">
        <v>127</v>
      </c>
      <c r="C103">
        <v>27</v>
      </c>
      <c r="D103" t="s">
        <v>19</v>
      </c>
      <c r="E103" t="s">
        <v>14</v>
      </c>
      <c r="F103">
        <v>2912</v>
      </c>
      <c r="G103" s="1">
        <v>43883</v>
      </c>
      <c r="H103">
        <v>2</v>
      </c>
      <c r="I103">
        <v>3</v>
      </c>
      <c r="J103" t="s">
        <v>21</v>
      </c>
      <c r="K103" t="s">
        <v>16</v>
      </c>
      <c r="L103" t="s">
        <v>17</v>
      </c>
    </row>
    <row r="104" spans="1:12" x14ac:dyDescent="0.35">
      <c r="A104">
        <v>103</v>
      </c>
      <c r="B104" t="s">
        <v>128</v>
      </c>
      <c r="C104">
        <v>34</v>
      </c>
      <c r="D104" t="s">
        <v>19</v>
      </c>
      <c r="E104" t="s">
        <v>27</v>
      </c>
      <c r="F104">
        <v>6742</v>
      </c>
      <c r="G104" s="1">
        <v>43724</v>
      </c>
      <c r="I104">
        <v>8</v>
      </c>
      <c r="J104" t="s">
        <v>15</v>
      </c>
      <c r="K104" t="s">
        <v>22</v>
      </c>
      <c r="L104" t="s">
        <v>17</v>
      </c>
    </row>
    <row r="105" spans="1:12" x14ac:dyDescent="0.35">
      <c r="A105">
        <v>104</v>
      </c>
      <c r="B105" t="s">
        <v>129</v>
      </c>
      <c r="C105">
        <v>32</v>
      </c>
      <c r="D105" t="s">
        <v>35</v>
      </c>
      <c r="E105" t="s">
        <v>14</v>
      </c>
      <c r="F105">
        <v>6458</v>
      </c>
      <c r="G105" s="1">
        <v>45010</v>
      </c>
      <c r="H105">
        <v>5</v>
      </c>
      <c r="I105">
        <v>7</v>
      </c>
      <c r="J105" t="s">
        <v>15</v>
      </c>
      <c r="K105" t="s">
        <v>30</v>
      </c>
      <c r="L105" t="s">
        <v>23</v>
      </c>
    </row>
    <row r="106" spans="1:12" x14ac:dyDescent="0.35">
      <c r="A106">
        <v>105</v>
      </c>
      <c r="B106" t="s">
        <v>130</v>
      </c>
      <c r="C106">
        <v>31</v>
      </c>
      <c r="D106" t="s">
        <v>13</v>
      </c>
      <c r="E106" t="s">
        <v>14</v>
      </c>
      <c r="F106">
        <v>2752</v>
      </c>
      <c r="G106" s="1">
        <v>44314</v>
      </c>
      <c r="H106">
        <v>5</v>
      </c>
      <c r="I106">
        <v>6</v>
      </c>
      <c r="J106" t="s">
        <v>15</v>
      </c>
      <c r="K106" t="s">
        <v>30</v>
      </c>
      <c r="L106" t="s">
        <v>17</v>
      </c>
    </row>
    <row r="107" spans="1:12" x14ac:dyDescent="0.35">
      <c r="A107">
        <v>106</v>
      </c>
      <c r="B107" t="s">
        <v>131</v>
      </c>
      <c r="C107">
        <v>25</v>
      </c>
      <c r="D107" t="s">
        <v>19</v>
      </c>
      <c r="E107" t="s">
        <v>14</v>
      </c>
      <c r="F107">
        <v>7371</v>
      </c>
      <c r="G107" s="1">
        <v>42283</v>
      </c>
      <c r="I107">
        <v>13</v>
      </c>
      <c r="J107" t="s">
        <v>21</v>
      </c>
      <c r="K107" t="s">
        <v>30</v>
      </c>
      <c r="L107" t="s">
        <v>23</v>
      </c>
    </row>
    <row r="108" spans="1:12" x14ac:dyDescent="0.35">
      <c r="A108">
        <v>107</v>
      </c>
      <c r="B108" t="s">
        <v>132</v>
      </c>
      <c r="C108">
        <v>21</v>
      </c>
      <c r="D108" t="s">
        <v>19</v>
      </c>
      <c r="E108" t="s">
        <v>20</v>
      </c>
      <c r="F108">
        <v>5133</v>
      </c>
      <c r="G108" s="1">
        <v>43088</v>
      </c>
      <c r="I108">
        <v>11</v>
      </c>
      <c r="J108" t="s">
        <v>15</v>
      </c>
      <c r="K108" t="s">
        <v>22</v>
      </c>
      <c r="L108" t="s">
        <v>23</v>
      </c>
    </row>
    <row r="109" spans="1:12" x14ac:dyDescent="0.35">
      <c r="A109">
        <v>108</v>
      </c>
      <c r="B109" t="s">
        <v>133</v>
      </c>
      <c r="C109">
        <v>24</v>
      </c>
      <c r="D109" t="s">
        <v>35</v>
      </c>
      <c r="E109" t="s">
        <v>27</v>
      </c>
      <c r="F109">
        <v>2578</v>
      </c>
      <c r="G109" s="1">
        <v>43470</v>
      </c>
      <c r="H109">
        <v>5</v>
      </c>
      <c r="I109">
        <v>16</v>
      </c>
      <c r="J109" t="s">
        <v>15</v>
      </c>
      <c r="K109" t="s">
        <v>30</v>
      </c>
      <c r="L109" t="s">
        <v>25</v>
      </c>
    </row>
    <row r="110" spans="1:12" x14ac:dyDescent="0.35">
      <c r="A110">
        <v>109</v>
      </c>
      <c r="B110" t="s">
        <v>134</v>
      </c>
      <c r="C110">
        <v>51</v>
      </c>
      <c r="D110" t="s">
        <v>35</v>
      </c>
      <c r="E110" t="s">
        <v>14</v>
      </c>
      <c r="F110">
        <v>7457</v>
      </c>
      <c r="G110" s="1">
        <v>43579</v>
      </c>
      <c r="H110">
        <v>0</v>
      </c>
      <c r="I110">
        <v>15</v>
      </c>
      <c r="J110" t="s">
        <v>15</v>
      </c>
      <c r="K110" t="s">
        <v>22</v>
      </c>
      <c r="L110" t="s">
        <v>17</v>
      </c>
    </row>
    <row r="111" spans="1:12" x14ac:dyDescent="0.35">
      <c r="A111">
        <v>110</v>
      </c>
      <c r="B111" t="s">
        <v>135</v>
      </c>
      <c r="C111">
        <v>58</v>
      </c>
      <c r="D111" t="s">
        <v>13</v>
      </c>
      <c r="E111" t="s">
        <v>20</v>
      </c>
      <c r="F111">
        <v>7263</v>
      </c>
      <c r="G111" s="1">
        <v>43079</v>
      </c>
      <c r="H111">
        <v>0</v>
      </c>
      <c r="I111">
        <v>20</v>
      </c>
      <c r="J111" t="s">
        <v>15</v>
      </c>
      <c r="K111" t="s">
        <v>16</v>
      </c>
      <c r="L111" t="s">
        <v>25</v>
      </c>
    </row>
    <row r="112" spans="1:12" x14ac:dyDescent="0.35">
      <c r="A112">
        <v>111</v>
      </c>
      <c r="B112" t="s">
        <v>136</v>
      </c>
      <c r="C112">
        <v>65</v>
      </c>
      <c r="D112" t="s">
        <v>13</v>
      </c>
      <c r="E112" t="s">
        <v>14</v>
      </c>
      <c r="F112">
        <v>2166</v>
      </c>
      <c r="G112" s="1">
        <v>42602</v>
      </c>
      <c r="H112">
        <v>2</v>
      </c>
      <c r="I112">
        <v>17</v>
      </c>
      <c r="J112" t="s">
        <v>21</v>
      </c>
      <c r="K112" t="s">
        <v>16</v>
      </c>
      <c r="L112" t="s">
        <v>25</v>
      </c>
    </row>
    <row r="113" spans="1:12" x14ac:dyDescent="0.35">
      <c r="A113">
        <v>112</v>
      </c>
      <c r="B113" t="s">
        <v>137</v>
      </c>
      <c r="C113">
        <v>31</v>
      </c>
      <c r="D113" t="s">
        <v>13</v>
      </c>
      <c r="E113" t="s">
        <v>20</v>
      </c>
      <c r="F113">
        <v>2303</v>
      </c>
      <c r="G113" s="1">
        <v>44499</v>
      </c>
      <c r="H113">
        <v>3</v>
      </c>
      <c r="I113">
        <v>18</v>
      </c>
      <c r="J113" t="s">
        <v>21</v>
      </c>
      <c r="K113" t="s">
        <v>22</v>
      </c>
      <c r="L113" t="s">
        <v>17</v>
      </c>
    </row>
    <row r="114" spans="1:12" x14ac:dyDescent="0.35">
      <c r="A114">
        <v>113</v>
      </c>
      <c r="B114" t="s">
        <v>138</v>
      </c>
      <c r="C114">
        <v>34</v>
      </c>
      <c r="D114" t="s">
        <v>19</v>
      </c>
      <c r="E114" t="s">
        <v>27</v>
      </c>
      <c r="F114">
        <v>9812</v>
      </c>
      <c r="G114" s="1">
        <v>42398</v>
      </c>
      <c r="H114">
        <v>3</v>
      </c>
      <c r="I114">
        <v>13</v>
      </c>
      <c r="J114" t="s">
        <v>15</v>
      </c>
      <c r="K114" t="s">
        <v>16</v>
      </c>
      <c r="L114" t="s">
        <v>23</v>
      </c>
    </row>
    <row r="115" spans="1:12" x14ac:dyDescent="0.35">
      <c r="A115">
        <v>114</v>
      </c>
      <c r="B115" t="s">
        <v>139</v>
      </c>
      <c r="C115">
        <v>65</v>
      </c>
      <c r="D115" t="s">
        <v>19</v>
      </c>
      <c r="E115" t="s">
        <v>20</v>
      </c>
      <c r="F115">
        <v>4940</v>
      </c>
      <c r="G115" s="1">
        <v>44281</v>
      </c>
      <c r="H115">
        <v>2</v>
      </c>
      <c r="I115">
        <v>11</v>
      </c>
      <c r="J115" t="s">
        <v>15</v>
      </c>
      <c r="K115" t="s">
        <v>22</v>
      </c>
      <c r="L115" t="s">
        <v>23</v>
      </c>
    </row>
    <row r="116" spans="1:12" x14ac:dyDescent="0.35">
      <c r="A116">
        <v>115</v>
      </c>
      <c r="B116" t="s">
        <v>140</v>
      </c>
      <c r="C116">
        <v>40</v>
      </c>
      <c r="D116" t="s">
        <v>19</v>
      </c>
      <c r="E116" t="s">
        <v>27</v>
      </c>
      <c r="F116">
        <v>3935</v>
      </c>
      <c r="G116" s="1">
        <v>44326</v>
      </c>
      <c r="H116">
        <v>5</v>
      </c>
      <c r="I116">
        <v>19</v>
      </c>
      <c r="J116" t="s">
        <v>21</v>
      </c>
      <c r="K116" t="s">
        <v>30</v>
      </c>
      <c r="L116" t="s">
        <v>25</v>
      </c>
    </row>
    <row r="117" spans="1:12" x14ac:dyDescent="0.35">
      <c r="A117">
        <v>116</v>
      </c>
      <c r="B117" t="s">
        <v>141</v>
      </c>
      <c r="C117">
        <v>19</v>
      </c>
      <c r="D117" t="s">
        <v>35</v>
      </c>
      <c r="E117" t="s">
        <v>14</v>
      </c>
      <c r="F117">
        <v>3233</v>
      </c>
      <c r="G117" s="1">
        <v>42865</v>
      </c>
      <c r="H117">
        <v>5</v>
      </c>
      <c r="I117">
        <v>6</v>
      </c>
      <c r="J117" t="s">
        <v>21</v>
      </c>
      <c r="K117" t="s">
        <v>30</v>
      </c>
      <c r="L117" t="s">
        <v>23</v>
      </c>
    </row>
    <row r="118" spans="1:12" x14ac:dyDescent="0.35">
      <c r="A118">
        <v>117</v>
      </c>
      <c r="B118" t="s">
        <v>142</v>
      </c>
      <c r="C118">
        <v>45</v>
      </c>
      <c r="D118" t="s">
        <v>35</v>
      </c>
      <c r="E118" t="s">
        <v>14</v>
      </c>
      <c r="F118">
        <v>4012</v>
      </c>
      <c r="G118" s="1">
        <v>42560</v>
      </c>
      <c r="I118">
        <v>10</v>
      </c>
      <c r="J118" t="s">
        <v>21</v>
      </c>
      <c r="K118" t="s">
        <v>22</v>
      </c>
      <c r="L118" t="s">
        <v>17</v>
      </c>
    </row>
    <row r="119" spans="1:12" x14ac:dyDescent="0.35">
      <c r="A119">
        <v>118</v>
      </c>
      <c r="B119" t="s">
        <v>143</v>
      </c>
      <c r="C119">
        <v>32</v>
      </c>
      <c r="D119" t="s">
        <v>19</v>
      </c>
      <c r="E119" t="s">
        <v>27</v>
      </c>
      <c r="F119">
        <v>8619</v>
      </c>
      <c r="G119" s="1">
        <v>44212</v>
      </c>
      <c r="I119">
        <v>8</v>
      </c>
      <c r="J119" t="s">
        <v>21</v>
      </c>
      <c r="K119" t="s">
        <v>16</v>
      </c>
      <c r="L119" t="s">
        <v>25</v>
      </c>
    </row>
    <row r="120" spans="1:12" x14ac:dyDescent="0.35">
      <c r="A120">
        <v>119</v>
      </c>
      <c r="B120" t="s">
        <v>144</v>
      </c>
      <c r="C120">
        <v>48</v>
      </c>
      <c r="D120" t="s">
        <v>13</v>
      </c>
      <c r="E120" t="s">
        <v>27</v>
      </c>
      <c r="F120">
        <v>2898</v>
      </c>
      <c r="G120" s="1">
        <v>44563</v>
      </c>
      <c r="I120">
        <v>12</v>
      </c>
      <c r="J120" t="s">
        <v>21</v>
      </c>
      <c r="K120" t="s">
        <v>22</v>
      </c>
      <c r="L120" t="s">
        <v>25</v>
      </c>
    </row>
    <row r="121" spans="1:12" x14ac:dyDescent="0.35">
      <c r="A121">
        <v>120</v>
      </c>
      <c r="B121" t="s">
        <v>145</v>
      </c>
      <c r="C121">
        <v>22</v>
      </c>
      <c r="D121" t="s">
        <v>35</v>
      </c>
      <c r="E121" t="s">
        <v>14</v>
      </c>
      <c r="F121">
        <v>7187</v>
      </c>
      <c r="G121" s="1">
        <v>45317</v>
      </c>
      <c r="H121">
        <v>0</v>
      </c>
      <c r="I121">
        <v>1</v>
      </c>
      <c r="J121" t="s">
        <v>15</v>
      </c>
      <c r="K121" t="s">
        <v>16</v>
      </c>
      <c r="L121" t="s">
        <v>25</v>
      </c>
    </row>
    <row r="122" spans="1:12" x14ac:dyDescent="0.35">
      <c r="A122">
        <v>121</v>
      </c>
      <c r="B122" t="s">
        <v>146</v>
      </c>
      <c r="C122">
        <v>39</v>
      </c>
      <c r="D122" t="s">
        <v>13</v>
      </c>
      <c r="E122" t="s">
        <v>14</v>
      </c>
      <c r="F122">
        <v>9941</v>
      </c>
      <c r="G122" s="1">
        <v>45479</v>
      </c>
      <c r="H122">
        <v>3</v>
      </c>
      <c r="I122">
        <v>15</v>
      </c>
      <c r="J122" t="s">
        <v>21</v>
      </c>
      <c r="K122" t="s">
        <v>16</v>
      </c>
      <c r="L122" t="s">
        <v>25</v>
      </c>
    </row>
    <row r="123" spans="1:12" x14ac:dyDescent="0.35">
      <c r="A123">
        <v>122</v>
      </c>
      <c r="B123" t="s">
        <v>147</v>
      </c>
      <c r="C123">
        <v>25</v>
      </c>
      <c r="D123" t="s">
        <v>35</v>
      </c>
      <c r="E123" t="s">
        <v>27</v>
      </c>
      <c r="F123">
        <v>5121</v>
      </c>
      <c r="G123" s="1">
        <v>43994</v>
      </c>
      <c r="H123">
        <v>0</v>
      </c>
      <c r="I123">
        <v>1</v>
      </c>
      <c r="J123" t="s">
        <v>15</v>
      </c>
      <c r="K123" t="s">
        <v>30</v>
      </c>
      <c r="L123" t="s">
        <v>17</v>
      </c>
    </row>
    <row r="124" spans="1:12" x14ac:dyDescent="0.35">
      <c r="A124">
        <v>123</v>
      </c>
      <c r="B124" t="s">
        <v>148</v>
      </c>
      <c r="C124">
        <v>46</v>
      </c>
      <c r="D124" t="s">
        <v>19</v>
      </c>
      <c r="E124" t="s">
        <v>27</v>
      </c>
      <c r="F124">
        <v>7991</v>
      </c>
      <c r="G124" s="1">
        <v>42846</v>
      </c>
      <c r="I124">
        <v>13</v>
      </c>
      <c r="J124" t="s">
        <v>21</v>
      </c>
      <c r="K124" t="s">
        <v>22</v>
      </c>
      <c r="L124" t="s">
        <v>25</v>
      </c>
    </row>
    <row r="125" spans="1:12" x14ac:dyDescent="0.35">
      <c r="A125">
        <v>124</v>
      </c>
      <c r="B125" t="s">
        <v>149</v>
      </c>
      <c r="C125">
        <v>24</v>
      </c>
      <c r="D125" t="s">
        <v>13</v>
      </c>
      <c r="E125" t="s">
        <v>20</v>
      </c>
      <c r="F125">
        <v>5287</v>
      </c>
      <c r="G125" s="1">
        <v>43167</v>
      </c>
      <c r="H125">
        <v>2</v>
      </c>
      <c r="I125">
        <v>1</v>
      </c>
      <c r="J125" t="s">
        <v>15</v>
      </c>
      <c r="K125" t="s">
        <v>16</v>
      </c>
      <c r="L125" t="s">
        <v>23</v>
      </c>
    </row>
    <row r="126" spans="1:12" x14ac:dyDescent="0.35">
      <c r="A126">
        <v>125</v>
      </c>
      <c r="B126" t="s">
        <v>150</v>
      </c>
      <c r="C126">
        <v>23</v>
      </c>
      <c r="D126" t="s">
        <v>35</v>
      </c>
      <c r="E126" t="s">
        <v>20</v>
      </c>
      <c r="F126">
        <v>3754</v>
      </c>
      <c r="G126" s="1">
        <v>44850</v>
      </c>
      <c r="H126">
        <v>0</v>
      </c>
      <c r="I126">
        <v>8</v>
      </c>
      <c r="J126" t="s">
        <v>15</v>
      </c>
      <c r="K126" t="s">
        <v>30</v>
      </c>
      <c r="L126" t="s">
        <v>23</v>
      </c>
    </row>
    <row r="127" spans="1:12" x14ac:dyDescent="0.35">
      <c r="A127">
        <v>126</v>
      </c>
      <c r="B127" t="s">
        <v>151</v>
      </c>
      <c r="C127">
        <v>38</v>
      </c>
      <c r="D127" t="s">
        <v>19</v>
      </c>
      <c r="E127" t="s">
        <v>27</v>
      </c>
      <c r="F127">
        <v>2358</v>
      </c>
      <c r="G127" s="1">
        <v>42729</v>
      </c>
      <c r="H127">
        <v>3</v>
      </c>
      <c r="I127">
        <v>14</v>
      </c>
      <c r="J127" t="s">
        <v>15</v>
      </c>
      <c r="K127" t="s">
        <v>16</v>
      </c>
      <c r="L127" t="s">
        <v>25</v>
      </c>
    </row>
    <row r="128" spans="1:12" x14ac:dyDescent="0.35">
      <c r="A128">
        <v>127</v>
      </c>
      <c r="B128" t="s">
        <v>152</v>
      </c>
      <c r="C128">
        <v>65</v>
      </c>
      <c r="D128" t="s">
        <v>19</v>
      </c>
      <c r="E128" t="s">
        <v>20</v>
      </c>
      <c r="F128">
        <v>8122</v>
      </c>
      <c r="G128" s="1">
        <v>42335</v>
      </c>
      <c r="I128">
        <v>15</v>
      </c>
      <c r="J128" t="s">
        <v>15</v>
      </c>
      <c r="K128" t="s">
        <v>22</v>
      </c>
      <c r="L128" t="s">
        <v>17</v>
      </c>
    </row>
    <row r="129" spans="1:12" x14ac:dyDescent="0.35">
      <c r="A129">
        <v>128</v>
      </c>
      <c r="B129" t="s">
        <v>153</v>
      </c>
      <c r="C129">
        <v>65</v>
      </c>
      <c r="D129" t="s">
        <v>13</v>
      </c>
      <c r="E129" t="s">
        <v>14</v>
      </c>
      <c r="F129">
        <v>9973</v>
      </c>
      <c r="G129" s="1">
        <v>43954</v>
      </c>
      <c r="I129">
        <v>19</v>
      </c>
      <c r="J129" t="s">
        <v>21</v>
      </c>
      <c r="K129" t="s">
        <v>16</v>
      </c>
      <c r="L129" t="s">
        <v>25</v>
      </c>
    </row>
    <row r="130" spans="1:12" x14ac:dyDescent="0.35">
      <c r="A130">
        <v>129</v>
      </c>
      <c r="B130" t="s">
        <v>154</v>
      </c>
      <c r="C130">
        <v>28</v>
      </c>
      <c r="D130" t="s">
        <v>19</v>
      </c>
      <c r="E130" t="s">
        <v>27</v>
      </c>
      <c r="F130">
        <v>2488</v>
      </c>
      <c r="G130" s="1">
        <v>43486</v>
      </c>
      <c r="I130">
        <v>6</v>
      </c>
      <c r="J130" t="s">
        <v>15</v>
      </c>
      <c r="K130" t="s">
        <v>22</v>
      </c>
      <c r="L130" t="s">
        <v>25</v>
      </c>
    </row>
    <row r="131" spans="1:12" x14ac:dyDescent="0.35">
      <c r="A131">
        <v>130</v>
      </c>
      <c r="B131" t="s">
        <v>155</v>
      </c>
      <c r="C131">
        <v>64</v>
      </c>
      <c r="D131" t="s">
        <v>13</v>
      </c>
      <c r="E131" t="s">
        <v>27</v>
      </c>
      <c r="F131">
        <v>7378</v>
      </c>
      <c r="G131" s="1">
        <v>43730</v>
      </c>
      <c r="I131">
        <v>18</v>
      </c>
      <c r="J131" t="s">
        <v>21</v>
      </c>
      <c r="K131" t="s">
        <v>16</v>
      </c>
      <c r="L131" t="s">
        <v>23</v>
      </c>
    </row>
    <row r="132" spans="1:12" x14ac:dyDescent="0.35">
      <c r="A132">
        <v>131</v>
      </c>
      <c r="B132" t="s">
        <v>156</v>
      </c>
      <c r="C132">
        <v>64</v>
      </c>
      <c r="D132" t="s">
        <v>19</v>
      </c>
      <c r="E132" t="s">
        <v>27</v>
      </c>
      <c r="F132">
        <v>7647</v>
      </c>
      <c r="G132" s="1">
        <v>44384</v>
      </c>
      <c r="I132">
        <v>8</v>
      </c>
      <c r="J132" t="s">
        <v>15</v>
      </c>
      <c r="K132" t="s">
        <v>22</v>
      </c>
      <c r="L132" t="s">
        <v>23</v>
      </c>
    </row>
    <row r="133" spans="1:12" x14ac:dyDescent="0.35">
      <c r="A133">
        <v>132</v>
      </c>
      <c r="B133" t="s">
        <v>157</v>
      </c>
      <c r="C133">
        <v>38</v>
      </c>
      <c r="D133" t="s">
        <v>19</v>
      </c>
      <c r="E133" t="s">
        <v>14</v>
      </c>
      <c r="F133">
        <v>2052</v>
      </c>
      <c r="G133" s="1">
        <v>44050</v>
      </c>
      <c r="I133">
        <v>9</v>
      </c>
      <c r="J133" t="s">
        <v>21</v>
      </c>
      <c r="K133" t="s">
        <v>30</v>
      </c>
      <c r="L133" t="s">
        <v>23</v>
      </c>
    </row>
    <row r="134" spans="1:12" x14ac:dyDescent="0.35">
      <c r="A134">
        <v>133</v>
      </c>
      <c r="B134" t="s">
        <v>158</v>
      </c>
      <c r="C134">
        <v>64</v>
      </c>
      <c r="D134" t="s">
        <v>13</v>
      </c>
      <c r="E134" t="s">
        <v>20</v>
      </c>
      <c r="F134">
        <v>5723</v>
      </c>
      <c r="G134" s="1">
        <v>44373</v>
      </c>
      <c r="H134">
        <v>4</v>
      </c>
      <c r="I134">
        <v>19</v>
      </c>
      <c r="J134" t="s">
        <v>21</v>
      </c>
      <c r="K134" t="s">
        <v>16</v>
      </c>
      <c r="L134" t="s">
        <v>23</v>
      </c>
    </row>
    <row r="135" spans="1:12" x14ac:dyDescent="0.35">
      <c r="A135">
        <v>134</v>
      </c>
      <c r="B135" t="s">
        <v>159</v>
      </c>
      <c r="C135">
        <v>30</v>
      </c>
      <c r="D135" t="s">
        <v>19</v>
      </c>
      <c r="E135" t="s">
        <v>20</v>
      </c>
      <c r="F135">
        <v>3856</v>
      </c>
      <c r="G135" s="1">
        <v>44580</v>
      </c>
      <c r="I135">
        <v>13</v>
      </c>
      <c r="J135" t="s">
        <v>21</v>
      </c>
      <c r="K135" t="s">
        <v>30</v>
      </c>
      <c r="L135" t="s">
        <v>23</v>
      </c>
    </row>
    <row r="136" spans="1:12" x14ac:dyDescent="0.35">
      <c r="A136">
        <v>135</v>
      </c>
      <c r="B136" t="s">
        <v>160</v>
      </c>
      <c r="C136">
        <v>33</v>
      </c>
      <c r="D136" t="s">
        <v>35</v>
      </c>
      <c r="E136" t="s">
        <v>20</v>
      </c>
      <c r="F136">
        <v>3843</v>
      </c>
      <c r="G136" s="1">
        <v>45141</v>
      </c>
      <c r="H136">
        <v>5</v>
      </c>
      <c r="I136">
        <v>18</v>
      </c>
      <c r="J136" t="s">
        <v>21</v>
      </c>
      <c r="K136" t="s">
        <v>30</v>
      </c>
      <c r="L136" t="s">
        <v>25</v>
      </c>
    </row>
    <row r="137" spans="1:12" x14ac:dyDescent="0.35">
      <c r="A137">
        <v>136</v>
      </c>
      <c r="B137" t="s">
        <v>161</v>
      </c>
      <c r="C137">
        <v>49</v>
      </c>
      <c r="D137" t="s">
        <v>35</v>
      </c>
      <c r="E137" t="s">
        <v>20</v>
      </c>
      <c r="F137">
        <v>3128</v>
      </c>
      <c r="G137" s="1">
        <v>45198</v>
      </c>
      <c r="H137">
        <v>2</v>
      </c>
      <c r="I137">
        <v>6</v>
      </c>
      <c r="J137" t="s">
        <v>21</v>
      </c>
      <c r="K137" t="s">
        <v>22</v>
      </c>
      <c r="L137" t="s">
        <v>25</v>
      </c>
    </row>
    <row r="138" spans="1:12" x14ac:dyDescent="0.35">
      <c r="A138">
        <v>137</v>
      </c>
      <c r="B138" t="s">
        <v>162</v>
      </c>
      <c r="C138">
        <v>56</v>
      </c>
      <c r="D138" t="s">
        <v>13</v>
      </c>
      <c r="E138" t="s">
        <v>20</v>
      </c>
      <c r="F138">
        <v>8154</v>
      </c>
      <c r="G138" s="1">
        <v>42915</v>
      </c>
      <c r="I138">
        <v>9</v>
      </c>
      <c r="J138" t="s">
        <v>21</v>
      </c>
      <c r="K138" t="s">
        <v>30</v>
      </c>
      <c r="L138" t="s">
        <v>25</v>
      </c>
    </row>
    <row r="139" spans="1:12" x14ac:dyDescent="0.35">
      <c r="A139">
        <v>138</v>
      </c>
      <c r="B139" t="s">
        <v>163</v>
      </c>
      <c r="C139">
        <v>34</v>
      </c>
      <c r="D139" t="s">
        <v>13</v>
      </c>
      <c r="E139" t="s">
        <v>20</v>
      </c>
      <c r="F139">
        <v>4286</v>
      </c>
      <c r="G139" s="1">
        <v>43968</v>
      </c>
      <c r="H139">
        <v>0</v>
      </c>
      <c r="I139">
        <v>7</v>
      </c>
      <c r="J139" t="s">
        <v>15</v>
      </c>
      <c r="K139" t="s">
        <v>30</v>
      </c>
      <c r="L139" t="s">
        <v>25</v>
      </c>
    </row>
    <row r="140" spans="1:12" x14ac:dyDescent="0.35">
      <c r="A140">
        <v>139</v>
      </c>
      <c r="B140" t="s">
        <v>164</v>
      </c>
      <c r="C140">
        <v>46</v>
      </c>
      <c r="D140" t="s">
        <v>19</v>
      </c>
      <c r="E140" t="s">
        <v>20</v>
      </c>
      <c r="F140">
        <v>3829</v>
      </c>
      <c r="G140" s="1">
        <v>44429</v>
      </c>
      <c r="I140">
        <v>11</v>
      </c>
      <c r="J140" t="s">
        <v>21</v>
      </c>
      <c r="K140" t="s">
        <v>30</v>
      </c>
      <c r="L140" t="s">
        <v>25</v>
      </c>
    </row>
    <row r="141" spans="1:12" x14ac:dyDescent="0.35">
      <c r="A141">
        <v>140</v>
      </c>
      <c r="B141" t="s">
        <v>165</v>
      </c>
      <c r="C141">
        <v>27</v>
      </c>
      <c r="D141" t="s">
        <v>19</v>
      </c>
      <c r="E141" t="s">
        <v>27</v>
      </c>
      <c r="F141">
        <v>8855</v>
      </c>
      <c r="G141" s="1">
        <v>44153</v>
      </c>
      <c r="I141">
        <v>18</v>
      </c>
      <c r="J141" t="s">
        <v>21</v>
      </c>
      <c r="K141" t="s">
        <v>30</v>
      </c>
      <c r="L141" t="s">
        <v>25</v>
      </c>
    </row>
    <row r="142" spans="1:12" x14ac:dyDescent="0.35">
      <c r="A142">
        <v>141</v>
      </c>
      <c r="B142" t="s">
        <v>166</v>
      </c>
      <c r="C142">
        <v>18</v>
      </c>
      <c r="D142" t="s">
        <v>35</v>
      </c>
      <c r="E142" t="s">
        <v>27</v>
      </c>
      <c r="F142">
        <v>8733</v>
      </c>
      <c r="G142" s="1">
        <v>44058</v>
      </c>
      <c r="I142">
        <v>19</v>
      </c>
      <c r="J142" t="s">
        <v>21</v>
      </c>
      <c r="K142" t="s">
        <v>30</v>
      </c>
      <c r="L142" t="s">
        <v>17</v>
      </c>
    </row>
    <row r="143" spans="1:12" x14ac:dyDescent="0.35">
      <c r="A143">
        <v>142</v>
      </c>
      <c r="B143" t="s">
        <v>167</v>
      </c>
      <c r="C143">
        <v>38</v>
      </c>
      <c r="D143" t="s">
        <v>19</v>
      </c>
      <c r="E143" t="s">
        <v>20</v>
      </c>
      <c r="F143">
        <v>5883</v>
      </c>
      <c r="G143" s="1">
        <v>45587</v>
      </c>
      <c r="H143">
        <v>4</v>
      </c>
      <c r="I143">
        <v>14</v>
      </c>
      <c r="J143" t="s">
        <v>21</v>
      </c>
      <c r="K143" t="s">
        <v>30</v>
      </c>
      <c r="L143" t="s">
        <v>23</v>
      </c>
    </row>
    <row r="144" spans="1:12" x14ac:dyDescent="0.35">
      <c r="A144">
        <v>143</v>
      </c>
      <c r="B144" t="s">
        <v>168</v>
      </c>
      <c r="C144">
        <v>42</v>
      </c>
      <c r="D144" t="s">
        <v>13</v>
      </c>
      <c r="E144" t="s">
        <v>20</v>
      </c>
      <c r="F144">
        <v>3591</v>
      </c>
      <c r="G144" s="1">
        <v>44029</v>
      </c>
      <c r="H144">
        <v>5</v>
      </c>
      <c r="I144">
        <v>20</v>
      </c>
      <c r="J144" t="s">
        <v>21</v>
      </c>
      <c r="K144" t="s">
        <v>22</v>
      </c>
      <c r="L144" t="s">
        <v>25</v>
      </c>
    </row>
    <row r="145" spans="1:12" x14ac:dyDescent="0.35">
      <c r="A145">
        <v>144</v>
      </c>
      <c r="B145" t="s">
        <v>169</v>
      </c>
      <c r="C145">
        <v>46</v>
      </c>
      <c r="D145" t="s">
        <v>35</v>
      </c>
      <c r="E145" t="s">
        <v>27</v>
      </c>
      <c r="F145">
        <v>6368</v>
      </c>
      <c r="G145" s="1">
        <v>45389</v>
      </c>
      <c r="I145">
        <v>2</v>
      </c>
      <c r="J145" t="s">
        <v>21</v>
      </c>
      <c r="K145" t="s">
        <v>16</v>
      </c>
      <c r="L145" t="s">
        <v>23</v>
      </c>
    </row>
    <row r="146" spans="1:12" x14ac:dyDescent="0.35">
      <c r="A146">
        <v>145</v>
      </c>
      <c r="B146" t="s">
        <v>170</v>
      </c>
      <c r="C146">
        <v>25</v>
      </c>
      <c r="D146" t="s">
        <v>19</v>
      </c>
      <c r="E146" t="s">
        <v>14</v>
      </c>
      <c r="F146">
        <v>3003</v>
      </c>
      <c r="G146" s="1">
        <v>43599</v>
      </c>
      <c r="H146">
        <v>1</v>
      </c>
      <c r="I146">
        <v>19</v>
      </c>
      <c r="J146" t="s">
        <v>15</v>
      </c>
      <c r="K146" t="s">
        <v>16</v>
      </c>
      <c r="L146" t="s">
        <v>25</v>
      </c>
    </row>
    <row r="147" spans="1:12" x14ac:dyDescent="0.35">
      <c r="A147">
        <v>146</v>
      </c>
      <c r="B147" t="s">
        <v>171</v>
      </c>
      <c r="C147">
        <v>20</v>
      </c>
      <c r="D147" t="s">
        <v>35</v>
      </c>
      <c r="E147" t="s">
        <v>27</v>
      </c>
      <c r="F147">
        <v>4757</v>
      </c>
      <c r="G147" s="1">
        <v>42923</v>
      </c>
      <c r="I147">
        <v>8</v>
      </c>
      <c r="J147" t="s">
        <v>21</v>
      </c>
      <c r="K147" t="s">
        <v>30</v>
      </c>
      <c r="L147" t="s">
        <v>25</v>
      </c>
    </row>
    <row r="148" spans="1:12" x14ac:dyDescent="0.35">
      <c r="A148">
        <v>147</v>
      </c>
      <c r="B148" t="s">
        <v>172</v>
      </c>
      <c r="C148">
        <v>22</v>
      </c>
      <c r="D148" t="s">
        <v>19</v>
      </c>
      <c r="E148" t="s">
        <v>27</v>
      </c>
      <c r="F148">
        <v>8152</v>
      </c>
      <c r="G148" s="1">
        <v>43130</v>
      </c>
      <c r="I148">
        <v>4</v>
      </c>
      <c r="J148" t="s">
        <v>15</v>
      </c>
      <c r="K148" t="s">
        <v>16</v>
      </c>
      <c r="L148" t="s">
        <v>23</v>
      </c>
    </row>
    <row r="149" spans="1:12" x14ac:dyDescent="0.35">
      <c r="A149">
        <v>148</v>
      </c>
      <c r="B149" t="s">
        <v>173</v>
      </c>
      <c r="C149">
        <v>37</v>
      </c>
      <c r="D149" t="s">
        <v>13</v>
      </c>
      <c r="E149" t="s">
        <v>20</v>
      </c>
      <c r="F149">
        <v>6429</v>
      </c>
      <c r="G149" s="1">
        <v>45192</v>
      </c>
      <c r="H149">
        <v>2</v>
      </c>
      <c r="I149">
        <v>10</v>
      </c>
      <c r="J149" t="s">
        <v>21</v>
      </c>
      <c r="K149" t="s">
        <v>30</v>
      </c>
      <c r="L149" t="s">
        <v>25</v>
      </c>
    </row>
    <row r="150" spans="1:12" x14ac:dyDescent="0.35">
      <c r="A150">
        <v>149</v>
      </c>
      <c r="B150" t="s">
        <v>174</v>
      </c>
      <c r="C150">
        <v>57</v>
      </c>
      <c r="D150" t="s">
        <v>19</v>
      </c>
      <c r="E150" t="s">
        <v>27</v>
      </c>
      <c r="F150">
        <v>3757</v>
      </c>
      <c r="G150" s="1">
        <v>45119</v>
      </c>
      <c r="I150">
        <v>19</v>
      </c>
      <c r="J150" t="s">
        <v>21</v>
      </c>
      <c r="K150" t="s">
        <v>16</v>
      </c>
      <c r="L150" t="s">
        <v>23</v>
      </c>
    </row>
    <row r="151" spans="1:12" x14ac:dyDescent="0.35">
      <c r="A151">
        <v>150</v>
      </c>
      <c r="B151" t="s">
        <v>175</v>
      </c>
      <c r="C151">
        <v>28</v>
      </c>
      <c r="D151" t="s">
        <v>13</v>
      </c>
      <c r="E151" t="s">
        <v>20</v>
      </c>
      <c r="F151">
        <v>8198</v>
      </c>
      <c r="G151" s="1">
        <v>44127</v>
      </c>
      <c r="H151">
        <v>1</v>
      </c>
      <c r="I151">
        <v>15</v>
      </c>
      <c r="J151" t="s">
        <v>21</v>
      </c>
      <c r="K151" t="s">
        <v>16</v>
      </c>
      <c r="L151" t="s">
        <v>23</v>
      </c>
    </row>
    <row r="152" spans="1:12" x14ac:dyDescent="0.35">
      <c r="A152">
        <v>151</v>
      </c>
      <c r="B152" t="s">
        <v>176</v>
      </c>
      <c r="C152">
        <v>54</v>
      </c>
      <c r="D152" t="s">
        <v>13</v>
      </c>
      <c r="E152" t="s">
        <v>20</v>
      </c>
      <c r="F152">
        <v>2364</v>
      </c>
      <c r="G152" s="1">
        <v>43006</v>
      </c>
      <c r="I152">
        <v>5</v>
      </c>
      <c r="J152" t="s">
        <v>21</v>
      </c>
      <c r="K152" t="s">
        <v>30</v>
      </c>
      <c r="L152" t="s">
        <v>25</v>
      </c>
    </row>
    <row r="153" spans="1:12" x14ac:dyDescent="0.35">
      <c r="A153">
        <v>152</v>
      </c>
      <c r="B153" t="s">
        <v>177</v>
      </c>
      <c r="C153">
        <v>58</v>
      </c>
      <c r="D153" t="s">
        <v>35</v>
      </c>
      <c r="E153" t="s">
        <v>20</v>
      </c>
      <c r="F153">
        <v>2621</v>
      </c>
      <c r="G153" s="1">
        <v>43338</v>
      </c>
      <c r="H153">
        <v>0</v>
      </c>
      <c r="I153">
        <v>16</v>
      </c>
      <c r="J153" t="s">
        <v>15</v>
      </c>
      <c r="K153" t="s">
        <v>16</v>
      </c>
      <c r="L153" t="s">
        <v>23</v>
      </c>
    </row>
    <row r="154" spans="1:12" x14ac:dyDescent="0.35">
      <c r="A154">
        <v>153</v>
      </c>
      <c r="B154" t="s">
        <v>178</v>
      </c>
      <c r="C154">
        <v>31</v>
      </c>
      <c r="D154" t="s">
        <v>35</v>
      </c>
      <c r="E154" t="s">
        <v>27</v>
      </c>
      <c r="F154">
        <v>4451</v>
      </c>
      <c r="G154" s="1">
        <v>43100</v>
      </c>
      <c r="I154">
        <v>1</v>
      </c>
      <c r="J154" t="s">
        <v>21</v>
      </c>
      <c r="K154" t="s">
        <v>30</v>
      </c>
      <c r="L154" t="s">
        <v>17</v>
      </c>
    </row>
    <row r="155" spans="1:12" x14ac:dyDescent="0.35">
      <c r="A155">
        <v>154</v>
      </c>
      <c r="B155" t="s">
        <v>179</v>
      </c>
      <c r="C155">
        <v>29</v>
      </c>
      <c r="D155" t="s">
        <v>35</v>
      </c>
      <c r="E155" t="s">
        <v>14</v>
      </c>
      <c r="F155">
        <v>4056</v>
      </c>
      <c r="G155" s="1">
        <v>45231</v>
      </c>
      <c r="I155">
        <v>17</v>
      </c>
      <c r="J155" t="s">
        <v>21</v>
      </c>
      <c r="K155" t="s">
        <v>16</v>
      </c>
      <c r="L155" t="s">
        <v>25</v>
      </c>
    </row>
    <row r="156" spans="1:12" x14ac:dyDescent="0.35">
      <c r="A156">
        <v>155</v>
      </c>
      <c r="B156" t="s">
        <v>180</v>
      </c>
      <c r="C156">
        <v>63</v>
      </c>
      <c r="D156" t="s">
        <v>19</v>
      </c>
      <c r="E156" t="s">
        <v>27</v>
      </c>
      <c r="F156">
        <v>5746</v>
      </c>
      <c r="G156" s="1">
        <v>43424</v>
      </c>
      <c r="H156">
        <v>5</v>
      </c>
      <c r="I156">
        <v>5</v>
      </c>
      <c r="J156" t="s">
        <v>21</v>
      </c>
      <c r="K156" t="s">
        <v>16</v>
      </c>
      <c r="L156" t="s">
        <v>17</v>
      </c>
    </row>
    <row r="157" spans="1:12" x14ac:dyDescent="0.35">
      <c r="A157">
        <v>156</v>
      </c>
      <c r="B157" t="s">
        <v>181</v>
      </c>
      <c r="C157">
        <v>56</v>
      </c>
      <c r="D157" t="s">
        <v>13</v>
      </c>
      <c r="E157" t="s">
        <v>27</v>
      </c>
      <c r="F157">
        <v>5982</v>
      </c>
      <c r="G157" s="1">
        <v>42707</v>
      </c>
      <c r="H157">
        <v>5</v>
      </c>
      <c r="I157">
        <v>11</v>
      </c>
      <c r="J157" t="s">
        <v>21</v>
      </c>
      <c r="K157" t="s">
        <v>16</v>
      </c>
      <c r="L157" t="s">
        <v>25</v>
      </c>
    </row>
    <row r="158" spans="1:12" x14ac:dyDescent="0.35">
      <c r="A158">
        <v>157</v>
      </c>
      <c r="B158" t="s">
        <v>182</v>
      </c>
      <c r="C158">
        <v>43</v>
      </c>
      <c r="D158" t="s">
        <v>13</v>
      </c>
      <c r="E158" t="s">
        <v>14</v>
      </c>
      <c r="F158">
        <v>4710</v>
      </c>
      <c r="G158" s="1">
        <v>44373</v>
      </c>
      <c r="H158">
        <v>1</v>
      </c>
      <c r="I158">
        <v>16</v>
      </c>
      <c r="J158" t="s">
        <v>15</v>
      </c>
      <c r="K158" t="s">
        <v>16</v>
      </c>
      <c r="L158" t="s">
        <v>17</v>
      </c>
    </row>
    <row r="159" spans="1:12" x14ac:dyDescent="0.35">
      <c r="A159">
        <v>158</v>
      </c>
      <c r="B159" t="s">
        <v>183</v>
      </c>
      <c r="C159">
        <v>19</v>
      </c>
      <c r="D159" t="s">
        <v>19</v>
      </c>
      <c r="E159" t="s">
        <v>14</v>
      </c>
      <c r="F159">
        <v>4527</v>
      </c>
      <c r="G159" s="1">
        <v>42122</v>
      </c>
      <c r="H159">
        <v>3</v>
      </c>
      <c r="I159">
        <v>14</v>
      </c>
      <c r="J159" t="s">
        <v>15</v>
      </c>
      <c r="K159" t="s">
        <v>30</v>
      </c>
      <c r="L159" t="s">
        <v>17</v>
      </c>
    </row>
    <row r="160" spans="1:12" x14ac:dyDescent="0.35">
      <c r="A160">
        <v>159</v>
      </c>
      <c r="B160" t="s">
        <v>184</v>
      </c>
      <c r="C160">
        <v>34</v>
      </c>
      <c r="D160" t="s">
        <v>35</v>
      </c>
      <c r="E160" t="s">
        <v>14</v>
      </c>
      <c r="F160">
        <v>9719</v>
      </c>
      <c r="G160" s="1">
        <v>43677</v>
      </c>
      <c r="H160">
        <v>2</v>
      </c>
      <c r="I160">
        <v>2</v>
      </c>
      <c r="J160" t="s">
        <v>21</v>
      </c>
      <c r="K160" t="s">
        <v>30</v>
      </c>
      <c r="L160" t="s">
        <v>23</v>
      </c>
    </row>
    <row r="161" spans="1:12" x14ac:dyDescent="0.35">
      <c r="A161">
        <v>160</v>
      </c>
      <c r="B161" t="s">
        <v>185</v>
      </c>
      <c r="C161">
        <v>26</v>
      </c>
      <c r="D161" t="s">
        <v>35</v>
      </c>
      <c r="E161" t="s">
        <v>14</v>
      </c>
      <c r="F161">
        <v>6157</v>
      </c>
      <c r="G161" s="1">
        <v>43220</v>
      </c>
      <c r="H161">
        <v>0</v>
      </c>
      <c r="I161">
        <v>15</v>
      </c>
      <c r="J161" t="s">
        <v>15</v>
      </c>
      <c r="K161" t="s">
        <v>16</v>
      </c>
      <c r="L161" t="s">
        <v>17</v>
      </c>
    </row>
    <row r="162" spans="1:12" x14ac:dyDescent="0.35">
      <c r="A162">
        <v>161</v>
      </c>
      <c r="B162" t="s">
        <v>186</v>
      </c>
      <c r="C162">
        <v>31</v>
      </c>
      <c r="D162" t="s">
        <v>35</v>
      </c>
      <c r="E162" t="s">
        <v>27</v>
      </c>
      <c r="F162">
        <v>8428</v>
      </c>
      <c r="G162" s="1">
        <v>45552</v>
      </c>
      <c r="H162">
        <v>4</v>
      </c>
      <c r="I162">
        <v>11</v>
      </c>
      <c r="J162" t="s">
        <v>21</v>
      </c>
      <c r="K162" t="s">
        <v>16</v>
      </c>
      <c r="L162" t="s">
        <v>23</v>
      </c>
    </row>
    <row r="163" spans="1:12" x14ac:dyDescent="0.35">
      <c r="A163">
        <v>162</v>
      </c>
      <c r="B163" t="s">
        <v>187</v>
      </c>
      <c r="C163">
        <v>36</v>
      </c>
      <c r="D163" t="s">
        <v>19</v>
      </c>
      <c r="E163" t="s">
        <v>27</v>
      </c>
      <c r="F163">
        <v>3284</v>
      </c>
      <c r="G163" s="1">
        <v>42114</v>
      </c>
      <c r="I163">
        <v>15</v>
      </c>
      <c r="J163" t="s">
        <v>21</v>
      </c>
      <c r="K163" t="s">
        <v>22</v>
      </c>
      <c r="L163" t="s">
        <v>17</v>
      </c>
    </row>
    <row r="164" spans="1:12" x14ac:dyDescent="0.35">
      <c r="A164">
        <v>163</v>
      </c>
      <c r="B164" t="s">
        <v>188</v>
      </c>
      <c r="C164">
        <v>32</v>
      </c>
      <c r="D164" t="s">
        <v>35</v>
      </c>
      <c r="E164" t="s">
        <v>27</v>
      </c>
      <c r="F164">
        <v>8958</v>
      </c>
      <c r="G164" s="1">
        <v>42809</v>
      </c>
      <c r="H164">
        <v>0</v>
      </c>
      <c r="I164">
        <v>17</v>
      </c>
      <c r="J164" t="s">
        <v>15</v>
      </c>
      <c r="K164" t="s">
        <v>22</v>
      </c>
      <c r="L164" t="s">
        <v>25</v>
      </c>
    </row>
    <row r="165" spans="1:12" x14ac:dyDescent="0.35">
      <c r="A165">
        <v>164</v>
      </c>
      <c r="B165" t="s">
        <v>189</v>
      </c>
      <c r="C165">
        <v>25</v>
      </c>
      <c r="D165" t="s">
        <v>35</v>
      </c>
      <c r="E165" t="s">
        <v>14</v>
      </c>
      <c r="F165">
        <v>9021</v>
      </c>
      <c r="G165" s="1">
        <v>42628</v>
      </c>
      <c r="I165">
        <v>11</v>
      </c>
      <c r="J165" t="s">
        <v>21</v>
      </c>
      <c r="K165" t="s">
        <v>30</v>
      </c>
      <c r="L165" t="s">
        <v>17</v>
      </c>
    </row>
    <row r="166" spans="1:12" x14ac:dyDescent="0.35">
      <c r="A166">
        <v>165</v>
      </c>
      <c r="B166" t="s">
        <v>190</v>
      </c>
      <c r="C166">
        <v>57</v>
      </c>
      <c r="D166" t="s">
        <v>35</v>
      </c>
      <c r="E166" t="s">
        <v>20</v>
      </c>
      <c r="F166">
        <v>3479</v>
      </c>
      <c r="G166" s="1">
        <v>43054</v>
      </c>
      <c r="I166">
        <v>13</v>
      </c>
      <c r="J166" t="s">
        <v>21</v>
      </c>
      <c r="K166" t="s">
        <v>16</v>
      </c>
      <c r="L166" t="s">
        <v>25</v>
      </c>
    </row>
    <row r="167" spans="1:12" x14ac:dyDescent="0.35">
      <c r="A167">
        <v>166</v>
      </c>
      <c r="B167" t="s">
        <v>191</v>
      </c>
      <c r="C167">
        <v>49</v>
      </c>
      <c r="D167" t="s">
        <v>19</v>
      </c>
      <c r="E167" t="s">
        <v>14</v>
      </c>
      <c r="F167">
        <v>6194</v>
      </c>
      <c r="G167" s="1">
        <v>45424</v>
      </c>
      <c r="H167">
        <v>1</v>
      </c>
      <c r="I167">
        <v>19</v>
      </c>
      <c r="J167" t="s">
        <v>21</v>
      </c>
      <c r="K167" t="s">
        <v>16</v>
      </c>
      <c r="L167" t="s">
        <v>23</v>
      </c>
    </row>
    <row r="168" spans="1:12" x14ac:dyDescent="0.35">
      <c r="A168">
        <v>167</v>
      </c>
      <c r="B168" t="s">
        <v>192</v>
      </c>
      <c r="C168">
        <v>28</v>
      </c>
      <c r="D168" t="s">
        <v>19</v>
      </c>
      <c r="E168" t="s">
        <v>27</v>
      </c>
      <c r="F168">
        <v>3862</v>
      </c>
      <c r="G168" s="1">
        <v>43394</v>
      </c>
      <c r="I168">
        <v>3</v>
      </c>
      <c r="J168" t="s">
        <v>21</v>
      </c>
      <c r="K168" t="s">
        <v>30</v>
      </c>
      <c r="L168" t="s">
        <v>17</v>
      </c>
    </row>
    <row r="169" spans="1:12" x14ac:dyDescent="0.35">
      <c r="A169">
        <v>168</v>
      </c>
      <c r="B169" t="s">
        <v>193</v>
      </c>
      <c r="C169">
        <v>56</v>
      </c>
      <c r="D169" t="s">
        <v>35</v>
      </c>
      <c r="E169" t="s">
        <v>27</v>
      </c>
      <c r="F169">
        <v>6006</v>
      </c>
      <c r="G169" s="1">
        <v>45220</v>
      </c>
      <c r="H169">
        <v>0</v>
      </c>
      <c r="I169">
        <v>4</v>
      </c>
      <c r="J169" t="s">
        <v>15</v>
      </c>
      <c r="K169" t="s">
        <v>16</v>
      </c>
      <c r="L169" t="s">
        <v>25</v>
      </c>
    </row>
    <row r="170" spans="1:12" x14ac:dyDescent="0.35">
      <c r="A170">
        <v>169</v>
      </c>
      <c r="B170" t="s">
        <v>194</v>
      </c>
      <c r="C170">
        <v>22</v>
      </c>
      <c r="D170" t="s">
        <v>19</v>
      </c>
      <c r="E170" t="s">
        <v>20</v>
      </c>
      <c r="F170">
        <v>2523</v>
      </c>
      <c r="G170" s="1">
        <v>44783</v>
      </c>
      <c r="H170">
        <v>2</v>
      </c>
      <c r="I170">
        <v>4</v>
      </c>
      <c r="J170" t="s">
        <v>21</v>
      </c>
      <c r="K170" t="s">
        <v>30</v>
      </c>
      <c r="L170" t="s">
        <v>23</v>
      </c>
    </row>
    <row r="171" spans="1:12" x14ac:dyDescent="0.35">
      <c r="A171">
        <v>170</v>
      </c>
      <c r="B171" t="s">
        <v>195</v>
      </c>
      <c r="C171">
        <v>24</v>
      </c>
      <c r="D171" t="s">
        <v>19</v>
      </c>
      <c r="E171" t="s">
        <v>20</v>
      </c>
      <c r="F171">
        <v>6041</v>
      </c>
      <c r="G171" s="1">
        <v>45633</v>
      </c>
      <c r="H171">
        <v>2</v>
      </c>
      <c r="I171">
        <v>4</v>
      </c>
      <c r="J171" t="s">
        <v>15</v>
      </c>
      <c r="K171" t="s">
        <v>16</v>
      </c>
      <c r="L171" t="s">
        <v>17</v>
      </c>
    </row>
    <row r="172" spans="1:12" x14ac:dyDescent="0.35">
      <c r="A172">
        <v>171</v>
      </c>
      <c r="B172" t="s">
        <v>196</v>
      </c>
      <c r="C172">
        <v>48</v>
      </c>
      <c r="D172" t="s">
        <v>13</v>
      </c>
      <c r="E172" t="s">
        <v>20</v>
      </c>
      <c r="F172">
        <v>2913</v>
      </c>
      <c r="G172" s="1">
        <v>44169</v>
      </c>
      <c r="H172">
        <v>2</v>
      </c>
      <c r="I172">
        <v>6</v>
      </c>
      <c r="J172" t="s">
        <v>15</v>
      </c>
      <c r="K172" t="s">
        <v>16</v>
      </c>
      <c r="L172" t="s">
        <v>23</v>
      </c>
    </row>
    <row r="173" spans="1:12" x14ac:dyDescent="0.35">
      <c r="A173">
        <v>172</v>
      </c>
      <c r="B173" t="s">
        <v>197</v>
      </c>
      <c r="C173">
        <v>64</v>
      </c>
      <c r="D173" t="s">
        <v>19</v>
      </c>
      <c r="E173" t="s">
        <v>14</v>
      </c>
      <c r="F173">
        <v>6767</v>
      </c>
      <c r="G173" s="1">
        <v>45030</v>
      </c>
      <c r="I173">
        <v>11</v>
      </c>
      <c r="J173" t="s">
        <v>21</v>
      </c>
      <c r="K173" t="s">
        <v>22</v>
      </c>
      <c r="L173" t="s">
        <v>23</v>
      </c>
    </row>
    <row r="174" spans="1:12" x14ac:dyDescent="0.35">
      <c r="A174">
        <v>173</v>
      </c>
      <c r="B174" t="s">
        <v>198</v>
      </c>
      <c r="C174">
        <v>19</v>
      </c>
      <c r="D174" t="s">
        <v>19</v>
      </c>
      <c r="E174" t="s">
        <v>20</v>
      </c>
      <c r="F174">
        <v>6735</v>
      </c>
      <c r="G174" s="1">
        <v>44587</v>
      </c>
      <c r="I174">
        <v>12</v>
      </c>
      <c r="J174" t="s">
        <v>15</v>
      </c>
      <c r="K174" t="s">
        <v>22</v>
      </c>
      <c r="L174" t="s">
        <v>25</v>
      </c>
    </row>
    <row r="175" spans="1:12" x14ac:dyDescent="0.35">
      <c r="A175">
        <v>174</v>
      </c>
      <c r="B175" t="s">
        <v>199</v>
      </c>
      <c r="C175">
        <v>21</v>
      </c>
      <c r="D175" t="s">
        <v>19</v>
      </c>
      <c r="E175" t="s">
        <v>27</v>
      </c>
      <c r="F175">
        <v>4043</v>
      </c>
      <c r="G175" s="1">
        <v>42287</v>
      </c>
      <c r="H175">
        <v>3</v>
      </c>
      <c r="I175">
        <v>20</v>
      </c>
      <c r="J175" t="s">
        <v>21</v>
      </c>
      <c r="K175" t="s">
        <v>30</v>
      </c>
      <c r="L175" t="s">
        <v>25</v>
      </c>
    </row>
    <row r="176" spans="1:12" x14ac:dyDescent="0.35">
      <c r="A176">
        <v>175</v>
      </c>
      <c r="B176" t="s">
        <v>200</v>
      </c>
      <c r="C176">
        <v>46</v>
      </c>
      <c r="D176" t="s">
        <v>19</v>
      </c>
      <c r="E176" t="s">
        <v>20</v>
      </c>
      <c r="F176">
        <v>8354</v>
      </c>
      <c r="G176" s="1">
        <v>42303</v>
      </c>
      <c r="I176">
        <v>10</v>
      </c>
      <c r="J176" t="s">
        <v>15</v>
      </c>
      <c r="K176" t="s">
        <v>22</v>
      </c>
      <c r="L176" t="s">
        <v>17</v>
      </c>
    </row>
    <row r="177" spans="1:12" x14ac:dyDescent="0.35">
      <c r="A177">
        <v>176</v>
      </c>
      <c r="B177" t="s">
        <v>201</v>
      </c>
      <c r="C177">
        <v>32</v>
      </c>
      <c r="D177" t="s">
        <v>13</v>
      </c>
      <c r="E177" t="s">
        <v>20</v>
      </c>
      <c r="F177">
        <v>5224</v>
      </c>
      <c r="G177" s="1">
        <v>43492</v>
      </c>
      <c r="H177">
        <v>0</v>
      </c>
      <c r="I177">
        <v>15</v>
      </c>
      <c r="J177" t="s">
        <v>15</v>
      </c>
      <c r="K177" t="s">
        <v>22</v>
      </c>
      <c r="L177" t="s">
        <v>23</v>
      </c>
    </row>
    <row r="178" spans="1:12" x14ac:dyDescent="0.35">
      <c r="A178">
        <v>177</v>
      </c>
      <c r="B178" t="s">
        <v>202</v>
      </c>
      <c r="C178">
        <v>37</v>
      </c>
      <c r="D178" t="s">
        <v>13</v>
      </c>
      <c r="E178" t="s">
        <v>20</v>
      </c>
      <c r="F178">
        <v>6706</v>
      </c>
      <c r="G178" s="1">
        <v>44345</v>
      </c>
      <c r="H178">
        <v>3</v>
      </c>
      <c r="I178">
        <v>9</v>
      </c>
      <c r="J178" t="s">
        <v>21</v>
      </c>
      <c r="K178" t="s">
        <v>22</v>
      </c>
      <c r="L178" t="s">
        <v>17</v>
      </c>
    </row>
    <row r="179" spans="1:12" x14ac:dyDescent="0.35">
      <c r="A179">
        <v>178</v>
      </c>
      <c r="B179" t="s">
        <v>203</v>
      </c>
      <c r="C179">
        <v>52</v>
      </c>
      <c r="D179" t="s">
        <v>35</v>
      </c>
      <c r="E179" t="s">
        <v>20</v>
      </c>
      <c r="F179">
        <v>8899</v>
      </c>
      <c r="G179" s="1">
        <v>42381</v>
      </c>
      <c r="H179">
        <v>0</v>
      </c>
      <c r="I179">
        <v>17</v>
      </c>
      <c r="J179" t="s">
        <v>15</v>
      </c>
      <c r="K179" t="s">
        <v>30</v>
      </c>
      <c r="L179" t="s">
        <v>23</v>
      </c>
    </row>
    <row r="180" spans="1:12" x14ac:dyDescent="0.35">
      <c r="A180">
        <v>179</v>
      </c>
      <c r="B180" t="s">
        <v>204</v>
      </c>
      <c r="C180">
        <v>36</v>
      </c>
      <c r="D180" t="s">
        <v>35</v>
      </c>
      <c r="E180" t="s">
        <v>27</v>
      </c>
      <c r="F180">
        <v>7885</v>
      </c>
      <c r="G180" s="1">
        <v>42525</v>
      </c>
      <c r="H180">
        <v>2</v>
      </c>
      <c r="I180">
        <v>2</v>
      </c>
      <c r="J180" t="s">
        <v>21</v>
      </c>
      <c r="K180" t="s">
        <v>16</v>
      </c>
      <c r="L180" t="s">
        <v>23</v>
      </c>
    </row>
    <row r="181" spans="1:12" x14ac:dyDescent="0.35">
      <c r="A181">
        <v>180</v>
      </c>
      <c r="B181" t="s">
        <v>205</v>
      </c>
      <c r="C181">
        <v>34</v>
      </c>
      <c r="D181" t="s">
        <v>19</v>
      </c>
      <c r="E181" t="s">
        <v>27</v>
      </c>
      <c r="F181">
        <v>3671</v>
      </c>
      <c r="G181" s="1">
        <v>44324</v>
      </c>
      <c r="I181">
        <v>16</v>
      </c>
      <c r="J181" t="s">
        <v>15</v>
      </c>
      <c r="K181" t="s">
        <v>22</v>
      </c>
      <c r="L181" t="s">
        <v>17</v>
      </c>
    </row>
    <row r="182" spans="1:12" x14ac:dyDescent="0.35">
      <c r="A182">
        <v>181</v>
      </c>
      <c r="B182" t="s">
        <v>206</v>
      </c>
      <c r="C182">
        <v>33</v>
      </c>
      <c r="D182" t="s">
        <v>35</v>
      </c>
      <c r="E182" t="s">
        <v>14</v>
      </c>
      <c r="F182">
        <v>6833</v>
      </c>
      <c r="G182" s="1">
        <v>42039</v>
      </c>
      <c r="H182">
        <v>0</v>
      </c>
      <c r="I182">
        <v>16</v>
      </c>
      <c r="J182" t="s">
        <v>15</v>
      </c>
      <c r="K182" t="s">
        <v>16</v>
      </c>
      <c r="L182" t="s">
        <v>17</v>
      </c>
    </row>
    <row r="183" spans="1:12" x14ac:dyDescent="0.35">
      <c r="A183">
        <v>182</v>
      </c>
      <c r="B183" t="s">
        <v>207</v>
      </c>
      <c r="C183">
        <v>58</v>
      </c>
      <c r="D183" t="s">
        <v>35</v>
      </c>
      <c r="E183" t="s">
        <v>27</v>
      </c>
      <c r="F183">
        <v>5025</v>
      </c>
      <c r="G183" s="1">
        <v>44128</v>
      </c>
      <c r="I183">
        <v>13</v>
      </c>
      <c r="J183" t="s">
        <v>21</v>
      </c>
      <c r="K183" t="s">
        <v>22</v>
      </c>
      <c r="L183" t="s">
        <v>17</v>
      </c>
    </row>
    <row r="184" spans="1:12" x14ac:dyDescent="0.35">
      <c r="A184">
        <v>183</v>
      </c>
      <c r="B184" t="s">
        <v>208</v>
      </c>
      <c r="C184">
        <v>45</v>
      </c>
      <c r="D184" t="s">
        <v>35</v>
      </c>
      <c r="E184" t="s">
        <v>27</v>
      </c>
      <c r="F184">
        <v>3979</v>
      </c>
      <c r="G184" s="1">
        <v>45358</v>
      </c>
      <c r="H184">
        <v>3</v>
      </c>
      <c r="I184">
        <v>12</v>
      </c>
      <c r="J184" t="s">
        <v>15</v>
      </c>
      <c r="K184" t="s">
        <v>16</v>
      </c>
      <c r="L184" t="s">
        <v>23</v>
      </c>
    </row>
    <row r="185" spans="1:12" x14ac:dyDescent="0.35">
      <c r="A185">
        <v>184</v>
      </c>
      <c r="B185" t="s">
        <v>209</v>
      </c>
      <c r="C185">
        <v>22</v>
      </c>
      <c r="D185" t="s">
        <v>35</v>
      </c>
      <c r="E185" t="s">
        <v>20</v>
      </c>
      <c r="F185">
        <v>8840</v>
      </c>
      <c r="G185" s="1">
        <v>44943</v>
      </c>
      <c r="H185">
        <v>0</v>
      </c>
      <c r="I185">
        <v>17</v>
      </c>
      <c r="J185" t="s">
        <v>15</v>
      </c>
      <c r="K185" t="s">
        <v>16</v>
      </c>
      <c r="L185" t="s">
        <v>23</v>
      </c>
    </row>
    <row r="186" spans="1:12" x14ac:dyDescent="0.35">
      <c r="A186">
        <v>185</v>
      </c>
      <c r="B186" t="s">
        <v>210</v>
      </c>
      <c r="C186">
        <v>19</v>
      </c>
      <c r="D186" t="s">
        <v>19</v>
      </c>
      <c r="E186" t="s">
        <v>20</v>
      </c>
      <c r="F186">
        <v>8470</v>
      </c>
      <c r="G186" s="1">
        <v>42724</v>
      </c>
      <c r="H186">
        <v>4</v>
      </c>
      <c r="I186">
        <v>1</v>
      </c>
      <c r="J186" t="s">
        <v>21</v>
      </c>
      <c r="K186" t="s">
        <v>22</v>
      </c>
      <c r="L186" t="s">
        <v>23</v>
      </c>
    </row>
    <row r="187" spans="1:12" x14ac:dyDescent="0.35">
      <c r="A187">
        <v>186</v>
      </c>
      <c r="B187" t="s">
        <v>211</v>
      </c>
      <c r="C187">
        <v>51</v>
      </c>
      <c r="D187" t="s">
        <v>19</v>
      </c>
      <c r="E187" t="s">
        <v>20</v>
      </c>
      <c r="F187">
        <v>7894</v>
      </c>
      <c r="G187" s="1">
        <v>42002</v>
      </c>
      <c r="I187">
        <v>11</v>
      </c>
      <c r="J187" t="s">
        <v>21</v>
      </c>
      <c r="K187" t="s">
        <v>22</v>
      </c>
      <c r="L187" t="s">
        <v>17</v>
      </c>
    </row>
    <row r="188" spans="1:12" x14ac:dyDescent="0.35">
      <c r="A188">
        <v>187</v>
      </c>
      <c r="B188" t="s">
        <v>212</v>
      </c>
      <c r="C188">
        <v>48</v>
      </c>
      <c r="D188" t="s">
        <v>13</v>
      </c>
      <c r="E188" t="s">
        <v>14</v>
      </c>
      <c r="F188">
        <v>3064</v>
      </c>
      <c r="G188" s="1">
        <v>45164</v>
      </c>
      <c r="H188">
        <v>4</v>
      </c>
      <c r="I188">
        <v>11</v>
      </c>
      <c r="J188" t="s">
        <v>15</v>
      </c>
      <c r="K188" t="s">
        <v>16</v>
      </c>
      <c r="L188" t="s">
        <v>23</v>
      </c>
    </row>
    <row r="189" spans="1:12" x14ac:dyDescent="0.35">
      <c r="A189">
        <v>188</v>
      </c>
      <c r="B189" t="s">
        <v>213</v>
      </c>
      <c r="C189">
        <v>39</v>
      </c>
      <c r="D189" t="s">
        <v>19</v>
      </c>
      <c r="E189" t="s">
        <v>14</v>
      </c>
      <c r="F189">
        <v>2149</v>
      </c>
      <c r="G189" s="1">
        <v>45056</v>
      </c>
      <c r="H189">
        <v>4</v>
      </c>
      <c r="I189">
        <v>17</v>
      </c>
      <c r="J189" t="s">
        <v>15</v>
      </c>
      <c r="K189" t="s">
        <v>16</v>
      </c>
      <c r="L189" t="s">
        <v>17</v>
      </c>
    </row>
    <row r="190" spans="1:12" x14ac:dyDescent="0.35">
      <c r="A190">
        <v>189</v>
      </c>
      <c r="B190" t="s">
        <v>214</v>
      </c>
      <c r="C190">
        <v>50</v>
      </c>
      <c r="D190" t="s">
        <v>19</v>
      </c>
      <c r="E190" t="s">
        <v>27</v>
      </c>
      <c r="F190">
        <v>3737</v>
      </c>
      <c r="G190" s="1">
        <v>44415</v>
      </c>
      <c r="I190">
        <v>4</v>
      </c>
      <c r="J190" t="s">
        <v>15</v>
      </c>
      <c r="K190" t="s">
        <v>16</v>
      </c>
      <c r="L190" t="s">
        <v>23</v>
      </c>
    </row>
    <row r="191" spans="1:12" x14ac:dyDescent="0.35">
      <c r="A191">
        <v>190</v>
      </c>
      <c r="B191" t="s">
        <v>215</v>
      </c>
      <c r="C191">
        <v>21</v>
      </c>
      <c r="D191" t="s">
        <v>13</v>
      </c>
      <c r="E191" t="s">
        <v>14</v>
      </c>
      <c r="F191">
        <v>7708</v>
      </c>
      <c r="G191" s="1">
        <v>44510</v>
      </c>
      <c r="H191">
        <v>0</v>
      </c>
      <c r="I191">
        <v>20</v>
      </c>
      <c r="J191" t="s">
        <v>15</v>
      </c>
      <c r="K191" t="s">
        <v>22</v>
      </c>
      <c r="L191" t="s">
        <v>17</v>
      </c>
    </row>
    <row r="192" spans="1:12" x14ac:dyDescent="0.35">
      <c r="A192">
        <v>191</v>
      </c>
      <c r="B192" t="s">
        <v>216</v>
      </c>
      <c r="C192">
        <v>25</v>
      </c>
      <c r="D192" t="s">
        <v>13</v>
      </c>
      <c r="E192" t="s">
        <v>27</v>
      </c>
      <c r="F192">
        <v>9374</v>
      </c>
      <c r="G192" s="1">
        <v>43699</v>
      </c>
      <c r="H192">
        <v>0</v>
      </c>
      <c r="I192">
        <v>15</v>
      </c>
      <c r="J192" t="s">
        <v>15</v>
      </c>
      <c r="K192" t="s">
        <v>16</v>
      </c>
      <c r="L192" t="s">
        <v>23</v>
      </c>
    </row>
    <row r="193" spans="1:12" x14ac:dyDescent="0.35">
      <c r="A193">
        <v>192</v>
      </c>
      <c r="B193" t="s">
        <v>217</v>
      </c>
      <c r="C193">
        <v>29</v>
      </c>
      <c r="D193" t="s">
        <v>19</v>
      </c>
      <c r="E193" t="s">
        <v>27</v>
      </c>
      <c r="F193">
        <v>3049</v>
      </c>
      <c r="G193" s="1">
        <v>43341</v>
      </c>
      <c r="H193">
        <v>4</v>
      </c>
      <c r="I193">
        <v>2</v>
      </c>
      <c r="J193" t="s">
        <v>21</v>
      </c>
      <c r="K193" t="s">
        <v>16</v>
      </c>
      <c r="L193" t="s">
        <v>17</v>
      </c>
    </row>
    <row r="194" spans="1:12" x14ac:dyDescent="0.35">
      <c r="A194">
        <v>193</v>
      </c>
      <c r="B194" t="s">
        <v>218</v>
      </c>
      <c r="C194">
        <v>29</v>
      </c>
      <c r="D194" t="s">
        <v>19</v>
      </c>
      <c r="E194" t="s">
        <v>14</v>
      </c>
      <c r="F194">
        <v>2776</v>
      </c>
      <c r="G194" s="1">
        <v>44251</v>
      </c>
      <c r="H194">
        <v>2</v>
      </c>
      <c r="I194">
        <v>1</v>
      </c>
      <c r="J194" t="s">
        <v>15</v>
      </c>
      <c r="K194" t="s">
        <v>30</v>
      </c>
      <c r="L194" t="s">
        <v>17</v>
      </c>
    </row>
    <row r="195" spans="1:12" x14ac:dyDescent="0.35">
      <c r="A195">
        <v>194</v>
      </c>
      <c r="B195" t="s">
        <v>219</v>
      </c>
      <c r="C195">
        <v>54</v>
      </c>
      <c r="D195" t="s">
        <v>19</v>
      </c>
      <c r="E195" t="s">
        <v>27</v>
      </c>
      <c r="F195">
        <v>4678</v>
      </c>
      <c r="G195" s="1">
        <v>43483</v>
      </c>
      <c r="H195">
        <v>4</v>
      </c>
      <c r="I195">
        <v>6</v>
      </c>
      <c r="J195" t="s">
        <v>15</v>
      </c>
      <c r="K195" t="s">
        <v>30</v>
      </c>
      <c r="L195" t="s">
        <v>25</v>
      </c>
    </row>
    <row r="196" spans="1:12" x14ac:dyDescent="0.35">
      <c r="A196">
        <v>195</v>
      </c>
      <c r="B196" t="s">
        <v>220</v>
      </c>
      <c r="C196">
        <v>34</v>
      </c>
      <c r="D196" t="s">
        <v>35</v>
      </c>
      <c r="E196" t="s">
        <v>14</v>
      </c>
      <c r="F196">
        <v>3397</v>
      </c>
      <c r="G196" s="1">
        <v>44737</v>
      </c>
      <c r="H196">
        <v>4</v>
      </c>
      <c r="I196">
        <v>2</v>
      </c>
      <c r="J196" t="s">
        <v>15</v>
      </c>
      <c r="K196" t="s">
        <v>22</v>
      </c>
      <c r="L196" t="s">
        <v>23</v>
      </c>
    </row>
    <row r="197" spans="1:12" x14ac:dyDescent="0.35">
      <c r="A197">
        <v>196</v>
      </c>
      <c r="B197" t="s">
        <v>221</v>
      </c>
      <c r="C197">
        <v>20</v>
      </c>
      <c r="D197" t="s">
        <v>19</v>
      </c>
      <c r="E197" t="s">
        <v>20</v>
      </c>
      <c r="F197">
        <v>3386</v>
      </c>
      <c r="G197" s="1">
        <v>44074</v>
      </c>
      <c r="I197">
        <v>1</v>
      </c>
      <c r="J197" t="s">
        <v>21</v>
      </c>
      <c r="K197" t="s">
        <v>16</v>
      </c>
      <c r="L197" t="s">
        <v>23</v>
      </c>
    </row>
    <row r="198" spans="1:12" x14ac:dyDescent="0.35">
      <c r="A198">
        <v>197</v>
      </c>
      <c r="B198" t="s">
        <v>222</v>
      </c>
      <c r="C198">
        <v>22</v>
      </c>
      <c r="D198" t="s">
        <v>35</v>
      </c>
      <c r="E198" t="s">
        <v>14</v>
      </c>
      <c r="F198">
        <v>6539</v>
      </c>
      <c r="G198" s="1">
        <v>44754</v>
      </c>
      <c r="H198">
        <v>0</v>
      </c>
      <c r="I198">
        <v>2</v>
      </c>
      <c r="J198" t="s">
        <v>15</v>
      </c>
      <c r="K198" t="s">
        <v>22</v>
      </c>
      <c r="L198" t="s">
        <v>17</v>
      </c>
    </row>
    <row r="199" spans="1:12" x14ac:dyDescent="0.35">
      <c r="A199">
        <v>198</v>
      </c>
      <c r="B199" t="s">
        <v>223</v>
      </c>
      <c r="C199">
        <v>23</v>
      </c>
      <c r="D199" t="s">
        <v>13</v>
      </c>
      <c r="E199" t="s">
        <v>14</v>
      </c>
      <c r="F199">
        <v>3175</v>
      </c>
      <c r="G199" s="1">
        <v>44337</v>
      </c>
      <c r="H199">
        <v>0</v>
      </c>
      <c r="I199">
        <v>9</v>
      </c>
      <c r="J199" t="s">
        <v>15</v>
      </c>
      <c r="K199" t="s">
        <v>16</v>
      </c>
      <c r="L199" t="s">
        <v>23</v>
      </c>
    </row>
    <row r="200" spans="1:12" x14ac:dyDescent="0.35">
      <c r="A200">
        <v>199</v>
      </c>
      <c r="B200" t="s">
        <v>224</v>
      </c>
      <c r="C200">
        <v>51</v>
      </c>
      <c r="D200" t="s">
        <v>35</v>
      </c>
      <c r="E200" t="s">
        <v>14</v>
      </c>
      <c r="F200">
        <v>7908</v>
      </c>
      <c r="G200" s="1">
        <v>45030</v>
      </c>
      <c r="H200">
        <v>1</v>
      </c>
      <c r="I200">
        <v>2</v>
      </c>
      <c r="J200" t="s">
        <v>21</v>
      </c>
      <c r="K200" t="s">
        <v>30</v>
      </c>
      <c r="L200" t="s">
        <v>23</v>
      </c>
    </row>
    <row r="201" spans="1:12" x14ac:dyDescent="0.35">
      <c r="A201">
        <v>200</v>
      </c>
      <c r="B201" t="s">
        <v>225</v>
      </c>
      <c r="C201">
        <v>23</v>
      </c>
      <c r="D201" t="s">
        <v>19</v>
      </c>
      <c r="E201" t="s">
        <v>20</v>
      </c>
      <c r="F201">
        <v>8119</v>
      </c>
      <c r="G201" s="1">
        <v>43101</v>
      </c>
      <c r="I201">
        <v>5</v>
      </c>
      <c r="J201" t="s">
        <v>21</v>
      </c>
      <c r="K201" t="s">
        <v>30</v>
      </c>
      <c r="L201" t="s">
        <v>25</v>
      </c>
    </row>
    <row r="202" spans="1:12" x14ac:dyDescent="0.35">
      <c r="A202">
        <v>201</v>
      </c>
      <c r="B202" t="s">
        <v>226</v>
      </c>
      <c r="C202">
        <v>48</v>
      </c>
      <c r="D202" t="s">
        <v>13</v>
      </c>
      <c r="E202" t="s">
        <v>14</v>
      </c>
      <c r="F202">
        <v>9930</v>
      </c>
      <c r="G202" s="1">
        <v>43681</v>
      </c>
      <c r="H202">
        <v>5</v>
      </c>
      <c r="I202">
        <v>19</v>
      </c>
      <c r="J202" t="s">
        <v>15</v>
      </c>
      <c r="K202" t="s">
        <v>30</v>
      </c>
      <c r="L202" t="s">
        <v>25</v>
      </c>
    </row>
    <row r="203" spans="1:12" x14ac:dyDescent="0.35">
      <c r="A203">
        <v>202</v>
      </c>
      <c r="B203" t="s">
        <v>227</v>
      </c>
      <c r="C203">
        <v>23</v>
      </c>
      <c r="D203" t="s">
        <v>19</v>
      </c>
      <c r="E203" t="s">
        <v>14</v>
      </c>
      <c r="F203">
        <v>3514</v>
      </c>
      <c r="G203" s="1">
        <v>43374</v>
      </c>
      <c r="I203">
        <v>1</v>
      </c>
      <c r="J203" t="s">
        <v>21</v>
      </c>
      <c r="K203" t="s">
        <v>22</v>
      </c>
      <c r="L203" t="s">
        <v>25</v>
      </c>
    </row>
    <row r="204" spans="1:12" x14ac:dyDescent="0.35">
      <c r="A204">
        <v>203</v>
      </c>
      <c r="B204" t="s">
        <v>228</v>
      </c>
      <c r="C204">
        <v>59</v>
      </c>
      <c r="D204" t="s">
        <v>13</v>
      </c>
      <c r="E204" t="s">
        <v>27</v>
      </c>
      <c r="F204">
        <v>6267</v>
      </c>
      <c r="G204" s="1">
        <v>44208</v>
      </c>
      <c r="H204">
        <v>5</v>
      </c>
      <c r="I204">
        <v>6</v>
      </c>
      <c r="J204" t="s">
        <v>21</v>
      </c>
      <c r="K204" t="s">
        <v>16</v>
      </c>
      <c r="L204" t="s">
        <v>25</v>
      </c>
    </row>
    <row r="205" spans="1:12" x14ac:dyDescent="0.35">
      <c r="A205">
        <v>204</v>
      </c>
      <c r="B205" t="s">
        <v>229</v>
      </c>
      <c r="C205">
        <v>28</v>
      </c>
      <c r="D205" t="s">
        <v>35</v>
      </c>
      <c r="E205" t="s">
        <v>14</v>
      </c>
      <c r="F205">
        <v>8416</v>
      </c>
      <c r="G205" s="1">
        <v>44613</v>
      </c>
      <c r="H205">
        <v>0</v>
      </c>
      <c r="I205">
        <v>8</v>
      </c>
      <c r="J205" t="s">
        <v>15</v>
      </c>
      <c r="K205" t="s">
        <v>22</v>
      </c>
      <c r="L205" t="s">
        <v>25</v>
      </c>
    </row>
    <row r="206" spans="1:12" x14ac:dyDescent="0.35">
      <c r="A206">
        <v>205</v>
      </c>
      <c r="B206" t="s">
        <v>230</v>
      </c>
      <c r="C206">
        <v>29</v>
      </c>
      <c r="D206" t="s">
        <v>19</v>
      </c>
      <c r="E206" t="s">
        <v>20</v>
      </c>
      <c r="F206">
        <v>5703</v>
      </c>
      <c r="G206" s="1">
        <v>43450</v>
      </c>
      <c r="H206">
        <v>2</v>
      </c>
      <c r="I206">
        <v>10</v>
      </c>
      <c r="J206" t="s">
        <v>15</v>
      </c>
      <c r="K206" t="s">
        <v>16</v>
      </c>
      <c r="L206" t="s">
        <v>25</v>
      </c>
    </row>
    <row r="207" spans="1:12" x14ac:dyDescent="0.35">
      <c r="A207">
        <v>206</v>
      </c>
      <c r="B207" t="s">
        <v>231</v>
      </c>
      <c r="C207">
        <v>55</v>
      </c>
      <c r="D207" t="s">
        <v>13</v>
      </c>
      <c r="E207" t="s">
        <v>27</v>
      </c>
      <c r="F207">
        <v>2127</v>
      </c>
      <c r="G207" s="1">
        <v>43505</v>
      </c>
      <c r="H207">
        <v>0</v>
      </c>
      <c r="I207">
        <v>8</v>
      </c>
      <c r="J207" t="s">
        <v>15</v>
      </c>
      <c r="K207" t="s">
        <v>22</v>
      </c>
      <c r="L207" t="s">
        <v>23</v>
      </c>
    </row>
    <row r="208" spans="1:12" x14ac:dyDescent="0.35">
      <c r="A208">
        <v>207</v>
      </c>
      <c r="B208" t="s">
        <v>232</v>
      </c>
      <c r="C208">
        <v>43</v>
      </c>
      <c r="D208" t="s">
        <v>35</v>
      </c>
      <c r="E208" t="s">
        <v>27</v>
      </c>
      <c r="F208">
        <v>8563</v>
      </c>
      <c r="G208" s="1">
        <v>43097</v>
      </c>
      <c r="H208">
        <v>4</v>
      </c>
      <c r="I208">
        <v>11</v>
      </c>
      <c r="J208" t="s">
        <v>15</v>
      </c>
      <c r="K208" t="s">
        <v>22</v>
      </c>
      <c r="L208" t="s">
        <v>17</v>
      </c>
    </row>
    <row r="209" spans="1:12" x14ac:dyDescent="0.35">
      <c r="A209">
        <v>208</v>
      </c>
      <c r="B209" t="s">
        <v>233</v>
      </c>
      <c r="C209">
        <v>24</v>
      </c>
      <c r="D209" t="s">
        <v>13</v>
      </c>
      <c r="E209" t="s">
        <v>27</v>
      </c>
      <c r="F209">
        <v>7539</v>
      </c>
      <c r="G209" s="1">
        <v>44232</v>
      </c>
      <c r="H209">
        <v>0</v>
      </c>
      <c r="I209">
        <v>5</v>
      </c>
      <c r="J209" t="s">
        <v>15</v>
      </c>
      <c r="K209" t="s">
        <v>22</v>
      </c>
      <c r="L209" t="s">
        <v>17</v>
      </c>
    </row>
    <row r="210" spans="1:12" x14ac:dyDescent="0.35">
      <c r="A210">
        <v>209</v>
      </c>
      <c r="B210" t="s">
        <v>234</v>
      </c>
      <c r="C210">
        <v>58</v>
      </c>
      <c r="D210" t="s">
        <v>19</v>
      </c>
      <c r="E210" t="s">
        <v>20</v>
      </c>
      <c r="F210">
        <v>2223</v>
      </c>
      <c r="G210" s="1">
        <v>45472</v>
      </c>
      <c r="I210">
        <v>8</v>
      </c>
      <c r="J210" t="s">
        <v>15</v>
      </c>
      <c r="K210" t="s">
        <v>16</v>
      </c>
      <c r="L210" t="s">
        <v>25</v>
      </c>
    </row>
    <row r="211" spans="1:12" x14ac:dyDescent="0.35">
      <c r="A211">
        <v>210</v>
      </c>
      <c r="B211" t="s">
        <v>235</v>
      </c>
      <c r="C211">
        <v>44</v>
      </c>
      <c r="D211" t="s">
        <v>13</v>
      </c>
      <c r="E211" t="s">
        <v>14</v>
      </c>
      <c r="F211">
        <v>3517</v>
      </c>
      <c r="G211" s="1">
        <v>44572</v>
      </c>
      <c r="H211">
        <v>5</v>
      </c>
      <c r="I211">
        <v>10</v>
      </c>
      <c r="J211" t="s">
        <v>21</v>
      </c>
      <c r="K211" t="s">
        <v>30</v>
      </c>
      <c r="L211" t="s">
        <v>25</v>
      </c>
    </row>
    <row r="212" spans="1:12" x14ac:dyDescent="0.35">
      <c r="A212">
        <v>211</v>
      </c>
      <c r="B212" t="s">
        <v>236</v>
      </c>
      <c r="C212">
        <v>42</v>
      </c>
      <c r="D212" t="s">
        <v>35</v>
      </c>
      <c r="E212" t="s">
        <v>14</v>
      </c>
      <c r="F212">
        <v>4603</v>
      </c>
      <c r="G212" s="1">
        <v>42581</v>
      </c>
      <c r="H212">
        <v>2</v>
      </c>
      <c r="I212">
        <v>12</v>
      </c>
      <c r="J212" t="s">
        <v>21</v>
      </c>
      <c r="K212" t="s">
        <v>16</v>
      </c>
      <c r="L212" t="s">
        <v>17</v>
      </c>
    </row>
    <row r="213" spans="1:12" x14ac:dyDescent="0.35">
      <c r="A213">
        <v>212</v>
      </c>
      <c r="B213" t="s">
        <v>237</v>
      </c>
      <c r="C213">
        <v>62</v>
      </c>
      <c r="D213" t="s">
        <v>19</v>
      </c>
      <c r="E213" t="s">
        <v>14</v>
      </c>
      <c r="F213">
        <v>4751</v>
      </c>
      <c r="G213" s="1">
        <v>44861</v>
      </c>
      <c r="H213">
        <v>1</v>
      </c>
      <c r="I213">
        <v>3</v>
      </c>
      <c r="J213" t="s">
        <v>21</v>
      </c>
      <c r="K213" t="s">
        <v>16</v>
      </c>
      <c r="L213" t="s">
        <v>25</v>
      </c>
    </row>
    <row r="214" spans="1:12" x14ac:dyDescent="0.35">
      <c r="A214">
        <v>213</v>
      </c>
      <c r="B214" t="s">
        <v>238</v>
      </c>
      <c r="C214">
        <v>54</v>
      </c>
      <c r="D214" t="s">
        <v>13</v>
      </c>
      <c r="E214" t="s">
        <v>27</v>
      </c>
      <c r="F214">
        <v>6942</v>
      </c>
      <c r="G214" s="1">
        <v>44229</v>
      </c>
      <c r="H214">
        <v>3</v>
      </c>
      <c r="I214">
        <v>5</v>
      </c>
      <c r="J214" t="s">
        <v>21</v>
      </c>
      <c r="K214" t="s">
        <v>16</v>
      </c>
      <c r="L214" t="s">
        <v>25</v>
      </c>
    </row>
    <row r="215" spans="1:12" x14ac:dyDescent="0.35">
      <c r="A215">
        <v>214</v>
      </c>
      <c r="B215" t="s">
        <v>239</v>
      </c>
      <c r="C215">
        <v>32</v>
      </c>
      <c r="D215" t="s">
        <v>13</v>
      </c>
      <c r="E215" t="s">
        <v>20</v>
      </c>
      <c r="F215">
        <v>2489</v>
      </c>
      <c r="G215" s="1">
        <v>42349</v>
      </c>
      <c r="H215">
        <v>5</v>
      </c>
      <c r="I215">
        <v>3</v>
      </c>
      <c r="J215" t="s">
        <v>21</v>
      </c>
      <c r="K215" t="s">
        <v>30</v>
      </c>
      <c r="L215" t="s">
        <v>25</v>
      </c>
    </row>
    <row r="216" spans="1:12" x14ac:dyDescent="0.35">
      <c r="A216">
        <v>215</v>
      </c>
      <c r="B216" t="s">
        <v>240</v>
      </c>
      <c r="C216">
        <v>65</v>
      </c>
      <c r="D216" t="s">
        <v>13</v>
      </c>
      <c r="E216" t="s">
        <v>27</v>
      </c>
      <c r="F216">
        <v>4538</v>
      </c>
      <c r="G216" s="1">
        <v>42401</v>
      </c>
      <c r="H216">
        <v>3</v>
      </c>
      <c r="I216">
        <v>8</v>
      </c>
      <c r="J216" t="s">
        <v>15</v>
      </c>
      <c r="K216" t="s">
        <v>30</v>
      </c>
      <c r="L216" t="s">
        <v>25</v>
      </c>
    </row>
    <row r="217" spans="1:12" x14ac:dyDescent="0.35">
      <c r="A217">
        <v>216</v>
      </c>
      <c r="B217" t="s">
        <v>241</v>
      </c>
      <c r="C217">
        <v>50</v>
      </c>
      <c r="D217" t="s">
        <v>13</v>
      </c>
      <c r="E217" t="s">
        <v>20</v>
      </c>
      <c r="F217">
        <v>9377</v>
      </c>
      <c r="G217" s="1">
        <v>43754</v>
      </c>
      <c r="H217">
        <v>0</v>
      </c>
      <c r="I217">
        <v>3</v>
      </c>
      <c r="J217" t="s">
        <v>15</v>
      </c>
      <c r="K217" t="s">
        <v>22</v>
      </c>
      <c r="L217" t="s">
        <v>25</v>
      </c>
    </row>
    <row r="218" spans="1:12" x14ac:dyDescent="0.35">
      <c r="A218">
        <v>217</v>
      </c>
      <c r="B218" t="s">
        <v>242</v>
      </c>
      <c r="C218">
        <v>35</v>
      </c>
      <c r="D218" t="s">
        <v>13</v>
      </c>
      <c r="E218" t="s">
        <v>20</v>
      </c>
      <c r="F218">
        <v>8129</v>
      </c>
      <c r="G218" s="1">
        <v>45472</v>
      </c>
      <c r="I218">
        <v>3</v>
      </c>
      <c r="J218" t="s">
        <v>21</v>
      </c>
      <c r="K218" t="s">
        <v>16</v>
      </c>
      <c r="L218" t="s">
        <v>23</v>
      </c>
    </row>
    <row r="219" spans="1:12" x14ac:dyDescent="0.35">
      <c r="A219">
        <v>218</v>
      </c>
      <c r="B219" t="s">
        <v>243</v>
      </c>
      <c r="C219">
        <v>25</v>
      </c>
      <c r="D219" t="s">
        <v>35</v>
      </c>
      <c r="E219" t="s">
        <v>27</v>
      </c>
      <c r="F219">
        <v>7335</v>
      </c>
      <c r="G219" s="1">
        <v>43044</v>
      </c>
      <c r="H219">
        <v>1</v>
      </c>
      <c r="I219">
        <v>3</v>
      </c>
      <c r="J219" t="s">
        <v>15</v>
      </c>
      <c r="K219" t="s">
        <v>22</v>
      </c>
      <c r="L219" t="s">
        <v>17</v>
      </c>
    </row>
    <row r="220" spans="1:12" x14ac:dyDescent="0.35">
      <c r="A220">
        <v>219</v>
      </c>
      <c r="B220" t="s">
        <v>244</v>
      </c>
      <c r="C220">
        <v>38</v>
      </c>
      <c r="D220" t="s">
        <v>19</v>
      </c>
      <c r="E220" t="s">
        <v>20</v>
      </c>
      <c r="F220">
        <v>3663</v>
      </c>
      <c r="G220" s="1">
        <v>42535</v>
      </c>
      <c r="H220">
        <v>3</v>
      </c>
      <c r="I220">
        <v>3</v>
      </c>
      <c r="J220" t="s">
        <v>21</v>
      </c>
      <c r="K220" t="s">
        <v>16</v>
      </c>
      <c r="L220" t="s">
        <v>23</v>
      </c>
    </row>
    <row r="221" spans="1:12" x14ac:dyDescent="0.35">
      <c r="A221">
        <v>220</v>
      </c>
      <c r="B221" t="s">
        <v>245</v>
      </c>
      <c r="C221">
        <v>20</v>
      </c>
      <c r="D221" t="s">
        <v>19</v>
      </c>
      <c r="E221" t="s">
        <v>27</v>
      </c>
      <c r="F221">
        <v>4328</v>
      </c>
      <c r="G221" s="1">
        <v>43221</v>
      </c>
      <c r="H221">
        <v>2</v>
      </c>
      <c r="I221">
        <v>12</v>
      </c>
      <c r="J221" t="s">
        <v>15</v>
      </c>
      <c r="K221" t="s">
        <v>22</v>
      </c>
      <c r="L221" t="s">
        <v>25</v>
      </c>
    </row>
    <row r="222" spans="1:12" x14ac:dyDescent="0.35">
      <c r="A222">
        <v>221</v>
      </c>
      <c r="B222" t="s">
        <v>246</v>
      </c>
      <c r="C222">
        <v>48</v>
      </c>
      <c r="D222" t="s">
        <v>13</v>
      </c>
      <c r="E222" t="s">
        <v>14</v>
      </c>
      <c r="F222">
        <v>7067</v>
      </c>
      <c r="G222" s="1">
        <v>45253</v>
      </c>
      <c r="I222">
        <v>8</v>
      </c>
      <c r="J222" t="s">
        <v>21</v>
      </c>
      <c r="K222" t="s">
        <v>22</v>
      </c>
      <c r="L222" t="s">
        <v>25</v>
      </c>
    </row>
    <row r="223" spans="1:12" x14ac:dyDescent="0.35">
      <c r="A223">
        <v>222</v>
      </c>
      <c r="B223" t="s">
        <v>247</v>
      </c>
      <c r="C223">
        <v>20</v>
      </c>
      <c r="D223" t="s">
        <v>19</v>
      </c>
      <c r="E223" t="s">
        <v>20</v>
      </c>
      <c r="F223">
        <v>6389</v>
      </c>
      <c r="G223" s="1">
        <v>42799</v>
      </c>
      <c r="I223">
        <v>6</v>
      </c>
      <c r="J223" t="s">
        <v>21</v>
      </c>
      <c r="K223" t="s">
        <v>16</v>
      </c>
      <c r="L223" t="s">
        <v>23</v>
      </c>
    </row>
    <row r="224" spans="1:12" x14ac:dyDescent="0.35">
      <c r="A224">
        <v>223</v>
      </c>
      <c r="B224" t="s">
        <v>248</v>
      </c>
      <c r="C224">
        <v>62</v>
      </c>
      <c r="D224" t="s">
        <v>13</v>
      </c>
      <c r="E224" t="s">
        <v>27</v>
      </c>
      <c r="F224">
        <v>7732</v>
      </c>
      <c r="G224" s="1">
        <v>44063</v>
      </c>
      <c r="H224">
        <v>0</v>
      </c>
      <c r="I224">
        <v>18</v>
      </c>
      <c r="J224" t="s">
        <v>15</v>
      </c>
      <c r="K224" t="s">
        <v>16</v>
      </c>
      <c r="L224" t="s">
        <v>25</v>
      </c>
    </row>
    <row r="225" spans="1:12" x14ac:dyDescent="0.35">
      <c r="A225">
        <v>224</v>
      </c>
      <c r="B225" t="s">
        <v>249</v>
      </c>
      <c r="C225">
        <v>59</v>
      </c>
      <c r="D225" t="s">
        <v>35</v>
      </c>
      <c r="E225" t="s">
        <v>27</v>
      </c>
      <c r="F225">
        <v>3379</v>
      </c>
      <c r="G225" s="1">
        <v>43311</v>
      </c>
      <c r="I225">
        <v>8</v>
      </c>
      <c r="J225" t="s">
        <v>21</v>
      </c>
      <c r="K225" t="s">
        <v>22</v>
      </c>
      <c r="L225" t="s">
        <v>25</v>
      </c>
    </row>
    <row r="226" spans="1:12" x14ac:dyDescent="0.35">
      <c r="A226">
        <v>225</v>
      </c>
      <c r="B226" t="s">
        <v>250</v>
      </c>
      <c r="C226">
        <v>27</v>
      </c>
      <c r="D226" t="s">
        <v>19</v>
      </c>
      <c r="E226" t="s">
        <v>27</v>
      </c>
      <c r="F226">
        <v>3660</v>
      </c>
      <c r="G226" s="1">
        <v>45275</v>
      </c>
      <c r="I226">
        <v>9</v>
      </c>
      <c r="J226" t="s">
        <v>15</v>
      </c>
      <c r="K226" t="s">
        <v>22</v>
      </c>
      <c r="L226" t="s">
        <v>17</v>
      </c>
    </row>
    <row r="227" spans="1:12" x14ac:dyDescent="0.35">
      <c r="A227">
        <v>226</v>
      </c>
      <c r="B227" t="s">
        <v>251</v>
      </c>
      <c r="C227">
        <v>51</v>
      </c>
      <c r="D227" t="s">
        <v>19</v>
      </c>
      <c r="E227" t="s">
        <v>27</v>
      </c>
      <c r="F227">
        <v>9160</v>
      </c>
      <c r="G227" s="1">
        <v>42852</v>
      </c>
      <c r="I227">
        <v>15</v>
      </c>
      <c r="J227" t="s">
        <v>21</v>
      </c>
      <c r="K227" t="s">
        <v>22</v>
      </c>
      <c r="L227" t="s">
        <v>17</v>
      </c>
    </row>
    <row r="228" spans="1:12" x14ac:dyDescent="0.35">
      <c r="A228">
        <v>227</v>
      </c>
      <c r="B228" t="s">
        <v>252</v>
      </c>
      <c r="C228">
        <v>49</v>
      </c>
      <c r="D228" t="s">
        <v>19</v>
      </c>
      <c r="E228" t="s">
        <v>14</v>
      </c>
      <c r="F228">
        <v>8733</v>
      </c>
      <c r="G228" s="1">
        <v>43502</v>
      </c>
      <c r="I228">
        <v>2</v>
      </c>
      <c r="J228" t="s">
        <v>21</v>
      </c>
      <c r="K228" t="s">
        <v>22</v>
      </c>
      <c r="L228" t="s">
        <v>25</v>
      </c>
    </row>
    <row r="229" spans="1:12" x14ac:dyDescent="0.35">
      <c r="A229">
        <v>228</v>
      </c>
      <c r="B229" t="s">
        <v>253</v>
      </c>
      <c r="C229">
        <v>45</v>
      </c>
      <c r="D229" t="s">
        <v>19</v>
      </c>
      <c r="E229" t="s">
        <v>27</v>
      </c>
      <c r="F229">
        <v>8587</v>
      </c>
      <c r="G229" s="1">
        <v>43486</v>
      </c>
      <c r="H229">
        <v>2</v>
      </c>
      <c r="I229">
        <v>18</v>
      </c>
      <c r="J229" t="s">
        <v>15</v>
      </c>
      <c r="K229" t="s">
        <v>30</v>
      </c>
      <c r="L229" t="s">
        <v>25</v>
      </c>
    </row>
    <row r="230" spans="1:12" x14ac:dyDescent="0.35">
      <c r="A230">
        <v>229</v>
      </c>
      <c r="B230" t="s">
        <v>254</v>
      </c>
      <c r="C230">
        <v>51</v>
      </c>
      <c r="D230" t="s">
        <v>13</v>
      </c>
      <c r="E230" t="s">
        <v>20</v>
      </c>
      <c r="F230">
        <v>9139</v>
      </c>
      <c r="G230" s="1">
        <v>44059</v>
      </c>
      <c r="H230">
        <v>5</v>
      </c>
      <c r="I230">
        <v>1</v>
      </c>
      <c r="J230" t="s">
        <v>15</v>
      </c>
      <c r="K230" t="s">
        <v>30</v>
      </c>
      <c r="L230" t="s">
        <v>17</v>
      </c>
    </row>
    <row r="231" spans="1:12" x14ac:dyDescent="0.35">
      <c r="A231">
        <v>230</v>
      </c>
      <c r="B231" t="s">
        <v>255</v>
      </c>
      <c r="C231">
        <v>39</v>
      </c>
      <c r="D231" t="s">
        <v>35</v>
      </c>
      <c r="E231" t="s">
        <v>27</v>
      </c>
      <c r="F231">
        <v>7250</v>
      </c>
      <c r="G231" s="1">
        <v>42562</v>
      </c>
      <c r="H231">
        <v>4</v>
      </c>
      <c r="I231">
        <v>1</v>
      </c>
      <c r="J231" t="s">
        <v>15</v>
      </c>
      <c r="K231" t="s">
        <v>30</v>
      </c>
      <c r="L231" t="s">
        <v>25</v>
      </c>
    </row>
    <row r="232" spans="1:12" x14ac:dyDescent="0.35">
      <c r="A232">
        <v>231</v>
      </c>
      <c r="B232" t="s">
        <v>256</v>
      </c>
      <c r="C232">
        <v>41</v>
      </c>
      <c r="D232" t="s">
        <v>19</v>
      </c>
      <c r="E232" t="s">
        <v>14</v>
      </c>
      <c r="F232">
        <v>4782</v>
      </c>
      <c r="G232" s="1">
        <v>42347</v>
      </c>
      <c r="H232">
        <v>4</v>
      </c>
      <c r="I232">
        <v>7</v>
      </c>
      <c r="J232" t="s">
        <v>21</v>
      </c>
      <c r="K232" t="s">
        <v>22</v>
      </c>
      <c r="L232" t="s">
        <v>25</v>
      </c>
    </row>
    <row r="233" spans="1:12" x14ac:dyDescent="0.35">
      <c r="A233">
        <v>232</v>
      </c>
      <c r="B233" t="s">
        <v>257</v>
      </c>
      <c r="C233">
        <v>26</v>
      </c>
      <c r="D233" t="s">
        <v>13</v>
      </c>
      <c r="E233" t="s">
        <v>20</v>
      </c>
      <c r="F233">
        <v>6975</v>
      </c>
      <c r="G233" s="1">
        <v>42455</v>
      </c>
      <c r="H233">
        <v>0</v>
      </c>
      <c r="I233">
        <v>14</v>
      </c>
      <c r="J233" t="s">
        <v>15</v>
      </c>
      <c r="K233" t="s">
        <v>16</v>
      </c>
      <c r="L233" t="s">
        <v>23</v>
      </c>
    </row>
    <row r="234" spans="1:12" x14ac:dyDescent="0.35">
      <c r="A234">
        <v>233</v>
      </c>
      <c r="B234" t="s">
        <v>258</v>
      </c>
      <c r="C234">
        <v>50</v>
      </c>
      <c r="D234" t="s">
        <v>35</v>
      </c>
      <c r="E234" t="s">
        <v>27</v>
      </c>
      <c r="F234">
        <v>8718</v>
      </c>
      <c r="G234" s="1">
        <v>45490</v>
      </c>
      <c r="H234">
        <v>1</v>
      </c>
      <c r="I234">
        <v>18</v>
      </c>
      <c r="J234" t="s">
        <v>15</v>
      </c>
      <c r="K234" t="s">
        <v>30</v>
      </c>
      <c r="L234" t="s">
        <v>25</v>
      </c>
    </row>
    <row r="235" spans="1:12" x14ac:dyDescent="0.35">
      <c r="A235">
        <v>234</v>
      </c>
      <c r="B235" t="s">
        <v>259</v>
      </c>
      <c r="C235">
        <v>40</v>
      </c>
      <c r="D235" t="s">
        <v>35</v>
      </c>
      <c r="E235" t="s">
        <v>20</v>
      </c>
      <c r="F235">
        <v>7461</v>
      </c>
      <c r="G235" s="1">
        <v>44664</v>
      </c>
      <c r="H235">
        <v>3</v>
      </c>
      <c r="I235">
        <v>7</v>
      </c>
      <c r="J235" t="s">
        <v>21</v>
      </c>
      <c r="K235" t="s">
        <v>30</v>
      </c>
      <c r="L235" t="s">
        <v>17</v>
      </c>
    </row>
    <row r="236" spans="1:12" x14ac:dyDescent="0.35">
      <c r="A236">
        <v>235</v>
      </c>
      <c r="B236" t="s">
        <v>260</v>
      </c>
      <c r="C236">
        <v>33</v>
      </c>
      <c r="D236" t="s">
        <v>19</v>
      </c>
      <c r="E236" t="s">
        <v>20</v>
      </c>
      <c r="F236">
        <v>7974</v>
      </c>
      <c r="G236" s="1">
        <v>42781</v>
      </c>
      <c r="I236">
        <v>7</v>
      </c>
      <c r="J236" t="s">
        <v>15</v>
      </c>
      <c r="K236" t="s">
        <v>22</v>
      </c>
      <c r="L236" t="s">
        <v>17</v>
      </c>
    </row>
    <row r="237" spans="1:12" x14ac:dyDescent="0.35">
      <c r="A237">
        <v>236</v>
      </c>
      <c r="B237" t="s">
        <v>261</v>
      </c>
      <c r="C237">
        <v>42</v>
      </c>
      <c r="D237" t="s">
        <v>19</v>
      </c>
      <c r="E237" t="s">
        <v>27</v>
      </c>
      <c r="F237">
        <v>4401</v>
      </c>
      <c r="G237" s="1">
        <v>44882</v>
      </c>
      <c r="H237">
        <v>1</v>
      </c>
      <c r="I237">
        <v>9</v>
      </c>
      <c r="J237" t="s">
        <v>21</v>
      </c>
      <c r="K237" t="s">
        <v>16</v>
      </c>
      <c r="L237" t="s">
        <v>17</v>
      </c>
    </row>
    <row r="238" spans="1:12" x14ac:dyDescent="0.35">
      <c r="A238">
        <v>237</v>
      </c>
      <c r="B238" t="s">
        <v>262</v>
      </c>
      <c r="C238">
        <v>46</v>
      </c>
      <c r="D238" t="s">
        <v>35</v>
      </c>
      <c r="E238" t="s">
        <v>20</v>
      </c>
      <c r="F238">
        <v>8607</v>
      </c>
      <c r="G238" s="1">
        <v>43486</v>
      </c>
      <c r="H238">
        <v>5</v>
      </c>
      <c r="I238">
        <v>3</v>
      </c>
      <c r="J238" t="s">
        <v>21</v>
      </c>
      <c r="K238" t="s">
        <v>16</v>
      </c>
      <c r="L238" t="s">
        <v>17</v>
      </c>
    </row>
    <row r="239" spans="1:12" x14ac:dyDescent="0.35">
      <c r="A239">
        <v>238</v>
      </c>
      <c r="B239" t="s">
        <v>263</v>
      </c>
      <c r="C239">
        <v>49</v>
      </c>
      <c r="D239" t="s">
        <v>19</v>
      </c>
      <c r="E239" t="s">
        <v>14</v>
      </c>
      <c r="F239">
        <v>3659</v>
      </c>
      <c r="G239" s="1">
        <v>44937</v>
      </c>
      <c r="I239">
        <v>10</v>
      </c>
      <c r="J239" t="s">
        <v>21</v>
      </c>
      <c r="K239" t="s">
        <v>30</v>
      </c>
      <c r="L239" t="s">
        <v>25</v>
      </c>
    </row>
    <row r="240" spans="1:12" x14ac:dyDescent="0.35">
      <c r="A240">
        <v>239</v>
      </c>
      <c r="B240" t="s">
        <v>264</v>
      </c>
      <c r="C240">
        <v>65</v>
      </c>
      <c r="D240" t="s">
        <v>19</v>
      </c>
      <c r="E240" t="s">
        <v>20</v>
      </c>
      <c r="F240">
        <v>6332</v>
      </c>
      <c r="G240" s="1">
        <v>42133</v>
      </c>
      <c r="I240">
        <v>12</v>
      </c>
      <c r="J240" t="s">
        <v>15</v>
      </c>
      <c r="K240" t="s">
        <v>30</v>
      </c>
      <c r="L240" t="s">
        <v>23</v>
      </c>
    </row>
    <row r="241" spans="1:12" x14ac:dyDescent="0.35">
      <c r="A241">
        <v>240</v>
      </c>
      <c r="B241" t="s">
        <v>265</v>
      </c>
      <c r="C241">
        <v>37</v>
      </c>
      <c r="D241" t="s">
        <v>35</v>
      </c>
      <c r="E241" t="s">
        <v>20</v>
      </c>
      <c r="F241">
        <v>9356</v>
      </c>
      <c r="G241" s="1">
        <v>43102</v>
      </c>
      <c r="H241">
        <v>3</v>
      </c>
      <c r="I241">
        <v>3</v>
      </c>
      <c r="J241" t="s">
        <v>15</v>
      </c>
      <c r="K241" t="s">
        <v>30</v>
      </c>
      <c r="L241" t="s">
        <v>25</v>
      </c>
    </row>
    <row r="242" spans="1:12" x14ac:dyDescent="0.35">
      <c r="A242">
        <v>241</v>
      </c>
      <c r="B242" t="s">
        <v>266</v>
      </c>
      <c r="C242">
        <v>33</v>
      </c>
      <c r="D242" t="s">
        <v>35</v>
      </c>
      <c r="E242" t="s">
        <v>27</v>
      </c>
      <c r="F242">
        <v>2996</v>
      </c>
      <c r="G242" s="1">
        <v>45240</v>
      </c>
      <c r="I242">
        <v>11</v>
      </c>
      <c r="J242" t="s">
        <v>21</v>
      </c>
      <c r="K242" t="s">
        <v>30</v>
      </c>
      <c r="L242" t="s">
        <v>23</v>
      </c>
    </row>
    <row r="243" spans="1:12" x14ac:dyDescent="0.35">
      <c r="A243">
        <v>242</v>
      </c>
      <c r="B243" t="s">
        <v>267</v>
      </c>
      <c r="C243">
        <v>54</v>
      </c>
      <c r="D243" t="s">
        <v>35</v>
      </c>
      <c r="E243" t="s">
        <v>14</v>
      </c>
      <c r="F243">
        <v>9516</v>
      </c>
      <c r="G243" s="1">
        <v>44488</v>
      </c>
      <c r="H243">
        <v>1</v>
      </c>
      <c r="I243">
        <v>8</v>
      </c>
      <c r="J243" t="s">
        <v>21</v>
      </c>
      <c r="K243" t="s">
        <v>30</v>
      </c>
      <c r="L243" t="s">
        <v>17</v>
      </c>
    </row>
    <row r="244" spans="1:12" x14ac:dyDescent="0.35">
      <c r="A244">
        <v>243</v>
      </c>
      <c r="B244" t="s">
        <v>268</v>
      </c>
      <c r="C244">
        <v>35</v>
      </c>
      <c r="D244" t="s">
        <v>19</v>
      </c>
      <c r="E244" t="s">
        <v>27</v>
      </c>
      <c r="F244">
        <v>2847</v>
      </c>
      <c r="G244" s="1">
        <v>43880</v>
      </c>
      <c r="I244">
        <v>11</v>
      </c>
      <c r="J244" t="s">
        <v>15</v>
      </c>
      <c r="K244" t="s">
        <v>22</v>
      </c>
      <c r="L244" t="s">
        <v>25</v>
      </c>
    </row>
    <row r="245" spans="1:12" x14ac:dyDescent="0.35">
      <c r="A245">
        <v>244</v>
      </c>
      <c r="B245" t="s">
        <v>269</v>
      </c>
      <c r="C245">
        <v>26</v>
      </c>
      <c r="D245" t="s">
        <v>19</v>
      </c>
      <c r="E245" t="s">
        <v>14</v>
      </c>
      <c r="F245">
        <v>8181</v>
      </c>
      <c r="G245" s="1">
        <v>42419</v>
      </c>
      <c r="I245">
        <v>14</v>
      </c>
      <c r="J245" t="s">
        <v>21</v>
      </c>
      <c r="K245" t="s">
        <v>22</v>
      </c>
      <c r="L245" t="s">
        <v>17</v>
      </c>
    </row>
    <row r="246" spans="1:12" x14ac:dyDescent="0.35">
      <c r="A246">
        <v>245</v>
      </c>
      <c r="B246" t="s">
        <v>270</v>
      </c>
      <c r="C246">
        <v>55</v>
      </c>
      <c r="D246" t="s">
        <v>35</v>
      </c>
      <c r="E246" t="s">
        <v>27</v>
      </c>
      <c r="F246">
        <v>7725</v>
      </c>
      <c r="G246" s="1">
        <v>45618</v>
      </c>
      <c r="H246">
        <v>4</v>
      </c>
      <c r="I246">
        <v>10</v>
      </c>
      <c r="J246" t="s">
        <v>21</v>
      </c>
      <c r="K246" t="s">
        <v>16</v>
      </c>
      <c r="L246" t="s">
        <v>25</v>
      </c>
    </row>
    <row r="247" spans="1:12" x14ac:dyDescent="0.35">
      <c r="A247">
        <v>246</v>
      </c>
      <c r="B247" t="s">
        <v>271</v>
      </c>
      <c r="C247">
        <v>60</v>
      </c>
      <c r="D247" t="s">
        <v>35</v>
      </c>
      <c r="E247" t="s">
        <v>20</v>
      </c>
      <c r="F247">
        <v>7911</v>
      </c>
      <c r="G247" s="1">
        <v>43548</v>
      </c>
      <c r="H247">
        <v>0</v>
      </c>
      <c r="I247">
        <v>7</v>
      </c>
      <c r="J247" t="s">
        <v>15</v>
      </c>
      <c r="K247" t="s">
        <v>30</v>
      </c>
      <c r="L247" t="s">
        <v>23</v>
      </c>
    </row>
    <row r="248" spans="1:12" x14ac:dyDescent="0.35">
      <c r="A248">
        <v>247</v>
      </c>
      <c r="B248" t="s">
        <v>272</v>
      </c>
      <c r="C248">
        <v>50</v>
      </c>
      <c r="D248" t="s">
        <v>19</v>
      </c>
      <c r="E248" t="s">
        <v>20</v>
      </c>
      <c r="F248">
        <v>2550</v>
      </c>
      <c r="G248" s="1">
        <v>44547</v>
      </c>
      <c r="I248">
        <v>15</v>
      </c>
      <c r="J248" t="s">
        <v>21</v>
      </c>
      <c r="K248" t="s">
        <v>16</v>
      </c>
      <c r="L248" t="s">
        <v>23</v>
      </c>
    </row>
    <row r="249" spans="1:12" x14ac:dyDescent="0.35">
      <c r="A249">
        <v>248</v>
      </c>
      <c r="B249" t="s">
        <v>273</v>
      </c>
      <c r="C249">
        <v>22</v>
      </c>
      <c r="D249" t="s">
        <v>35</v>
      </c>
      <c r="E249" t="s">
        <v>27</v>
      </c>
      <c r="F249">
        <v>2649</v>
      </c>
      <c r="G249" s="1">
        <v>45556</v>
      </c>
      <c r="I249">
        <v>8</v>
      </c>
      <c r="J249" t="s">
        <v>21</v>
      </c>
      <c r="K249" t="s">
        <v>30</v>
      </c>
      <c r="L249" t="s">
        <v>17</v>
      </c>
    </row>
    <row r="250" spans="1:12" x14ac:dyDescent="0.35">
      <c r="A250">
        <v>249</v>
      </c>
      <c r="B250" t="s">
        <v>274</v>
      </c>
      <c r="C250">
        <v>65</v>
      </c>
      <c r="D250" t="s">
        <v>13</v>
      </c>
      <c r="E250" t="s">
        <v>27</v>
      </c>
      <c r="F250">
        <v>8882</v>
      </c>
      <c r="G250" s="1">
        <v>43427</v>
      </c>
      <c r="H250">
        <v>0</v>
      </c>
      <c r="I250">
        <v>2</v>
      </c>
      <c r="J250" t="s">
        <v>15</v>
      </c>
      <c r="K250" t="s">
        <v>16</v>
      </c>
      <c r="L250" t="s">
        <v>25</v>
      </c>
    </row>
    <row r="251" spans="1:12" x14ac:dyDescent="0.35">
      <c r="A251">
        <v>250</v>
      </c>
      <c r="B251" t="s">
        <v>275</v>
      </c>
      <c r="C251">
        <v>25</v>
      </c>
      <c r="D251" t="s">
        <v>13</v>
      </c>
      <c r="E251" t="s">
        <v>14</v>
      </c>
      <c r="F251">
        <v>2994</v>
      </c>
      <c r="G251" s="1">
        <v>42268</v>
      </c>
      <c r="H251">
        <v>0</v>
      </c>
      <c r="I251">
        <v>14</v>
      </c>
      <c r="J251" t="s">
        <v>15</v>
      </c>
      <c r="K251" t="s">
        <v>30</v>
      </c>
      <c r="L251" t="s">
        <v>25</v>
      </c>
    </row>
    <row r="252" spans="1:12" x14ac:dyDescent="0.35">
      <c r="A252">
        <v>251</v>
      </c>
      <c r="B252" t="s">
        <v>276</v>
      </c>
      <c r="C252">
        <v>38</v>
      </c>
      <c r="D252" t="s">
        <v>35</v>
      </c>
      <c r="E252" t="s">
        <v>20</v>
      </c>
      <c r="F252">
        <v>9924</v>
      </c>
      <c r="G252" s="1">
        <v>43475</v>
      </c>
      <c r="H252">
        <v>4</v>
      </c>
      <c r="I252">
        <v>20</v>
      </c>
      <c r="J252" t="s">
        <v>21</v>
      </c>
      <c r="K252" t="s">
        <v>30</v>
      </c>
      <c r="L252" t="s">
        <v>17</v>
      </c>
    </row>
    <row r="253" spans="1:12" x14ac:dyDescent="0.35">
      <c r="A253">
        <v>252</v>
      </c>
      <c r="B253" t="s">
        <v>277</v>
      </c>
      <c r="C253">
        <v>50</v>
      </c>
      <c r="D253" t="s">
        <v>19</v>
      </c>
      <c r="E253" t="s">
        <v>27</v>
      </c>
      <c r="F253">
        <v>3091</v>
      </c>
      <c r="G253" s="1">
        <v>42139</v>
      </c>
      <c r="H253">
        <v>1</v>
      </c>
      <c r="I253">
        <v>16</v>
      </c>
      <c r="J253" t="s">
        <v>15</v>
      </c>
      <c r="K253" t="s">
        <v>22</v>
      </c>
      <c r="L253" t="s">
        <v>25</v>
      </c>
    </row>
    <row r="254" spans="1:12" x14ac:dyDescent="0.35">
      <c r="A254">
        <v>253</v>
      </c>
      <c r="B254" t="s">
        <v>278</v>
      </c>
      <c r="C254">
        <v>61</v>
      </c>
      <c r="D254" t="s">
        <v>35</v>
      </c>
      <c r="E254" t="s">
        <v>27</v>
      </c>
      <c r="F254">
        <v>3063</v>
      </c>
      <c r="G254" s="1">
        <v>43177</v>
      </c>
      <c r="H254">
        <v>1</v>
      </c>
      <c r="I254">
        <v>4</v>
      </c>
      <c r="J254" t="s">
        <v>15</v>
      </c>
      <c r="K254" t="s">
        <v>16</v>
      </c>
      <c r="L254" t="s">
        <v>25</v>
      </c>
    </row>
    <row r="255" spans="1:12" x14ac:dyDescent="0.35">
      <c r="A255">
        <v>254</v>
      </c>
      <c r="B255" t="s">
        <v>279</v>
      </c>
      <c r="C255">
        <v>44</v>
      </c>
      <c r="D255" t="s">
        <v>19</v>
      </c>
      <c r="E255" t="s">
        <v>14</v>
      </c>
      <c r="F255">
        <v>5443</v>
      </c>
      <c r="G255" s="1">
        <v>43210</v>
      </c>
      <c r="H255">
        <v>1</v>
      </c>
      <c r="I255">
        <v>9</v>
      </c>
      <c r="J255" t="s">
        <v>21</v>
      </c>
      <c r="K255" t="s">
        <v>30</v>
      </c>
      <c r="L255" t="s">
        <v>23</v>
      </c>
    </row>
    <row r="256" spans="1:12" x14ac:dyDescent="0.35">
      <c r="A256">
        <v>255</v>
      </c>
      <c r="B256" t="s">
        <v>280</v>
      </c>
      <c r="C256">
        <v>45</v>
      </c>
      <c r="D256" t="s">
        <v>35</v>
      </c>
      <c r="E256" t="s">
        <v>14</v>
      </c>
      <c r="F256">
        <v>9207</v>
      </c>
      <c r="G256" s="1">
        <v>43835</v>
      </c>
      <c r="H256">
        <v>4</v>
      </c>
      <c r="I256">
        <v>4</v>
      </c>
      <c r="J256" t="s">
        <v>15</v>
      </c>
      <c r="K256" t="s">
        <v>22</v>
      </c>
      <c r="L256" t="s">
        <v>25</v>
      </c>
    </row>
    <row r="257" spans="1:12" x14ac:dyDescent="0.35">
      <c r="A257">
        <v>256</v>
      </c>
      <c r="B257" t="s">
        <v>281</v>
      </c>
      <c r="C257">
        <v>49</v>
      </c>
      <c r="D257" t="s">
        <v>35</v>
      </c>
      <c r="E257" t="s">
        <v>14</v>
      </c>
      <c r="F257">
        <v>3081</v>
      </c>
      <c r="G257" s="1">
        <v>42970</v>
      </c>
      <c r="I257">
        <v>5</v>
      </c>
      <c r="J257" t="s">
        <v>21</v>
      </c>
      <c r="K257" t="s">
        <v>16</v>
      </c>
      <c r="L257" t="s">
        <v>17</v>
      </c>
    </row>
    <row r="258" spans="1:12" x14ac:dyDescent="0.35">
      <c r="A258">
        <v>257</v>
      </c>
      <c r="B258" t="s">
        <v>282</v>
      </c>
      <c r="C258">
        <v>19</v>
      </c>
      <c r="D258" t="s">
        <v>13</v>
      </c>
      <c r="E258" t="s">
        <v>27</v>
      </c>
      <c r="F258">
        <v>4084</v>
      </c>
      <c r="G258" s="1">
        <v>44796</v>
      </c>
      <c r="H258">
        <v>3</v>
      </c>
      <c r="I258">
        <v>7</v>
      </c>
      <c r="J258" t="s">
        <v>15</v>
      </c>
      <c r="K258" t="s">
        <v>22</v>
      </c>
      <c r="L258" t="s">
        <v>17</v>
      </c>
    </row>
    <row r="259" spans="1:12" x14ac:dyDescent="0.35">
      <c r="A259">
        <v>258</v>
      </c>
      <c r="B259" t="s">
        <v>283</v>
      </c>
      <c r="C259">
        <v>18</v>
      </c>
      <c r="D259" t="s">
        <v>19</v>
      </c>
      <c r="E259" t="s">
        <v>20</v>
      </c>
      <c r="F259">
        <v>4520</v>
      </c>
      <c r="G259" s="1">
        <v>44220</v>
      </c>
      <c r="H259">
        <v>2</v>
      </c>
      <c r="I259">
        <v>4</v>
      </c>
      <c r="J259" t="s">
        <v>21</v>
      </c>
      <c r="K259" t="s">
        <v>16</v>
      </c>
      <c r="L259" t="s">
        <v>23</v>
      </c>
    </row>
    <row r="260" spans="1:12" x14ac:dyDescent="0.35">
      <c r="A260">
        <v>259</v>
      </c>
      <c r="B260" t="s">
        <v>284</v>
      </c>
      <c r="C260">
        <v>40</v>
      </c>
      <c r="D260" t="s">
        <v>13</v>
      </c>
      <c r="E260" t="s">
        <v>14</v>
      </c>
      <c r="F260">
        <v>4123</v>
      </c>
      <c r="G260" s="1">
        <v>44843</v>
      </c>
      <c r="H260">
        <v>4</v>
      </c>
      <c r="I260">
        <v>6</v>
      </c>
      <c r="J260" t="s">
        <v>21</v>
      </c>
      <c r="K260" t="s">
        <v>16</v>
      </c>
      <c r="L260" t="s">
        <v>25</v>
      </c>
    </row>
    <row r="261" spans="1:12" x14ac:dyDescent="0.35">
      <c r="A261">
        <v>260</v>
      </c>
      <c r="B261" t="s">
        <v>285</v>
      </c>
      <c r="C261">
        <v>35</v>
      </c>
      <c r="D261" t="s">
        <v>19</v>
      </c>
      <c r="E261" t="s">
        <v>27</v>
      </c>
      <c r="F261">
        <v>9624</v>
      </c>
      <c r="G261" s="1">
        <v>43528</v>
      </c>
      <c r="H261">
        <v>1</v>
      </c>
      <c r="I261">
        <v>19</v>
      </c>
      <c r="J261" t="s">
        <v>21</v>
      </c>
      <c r="K261" t="s">
        <v>22</v>
      </c>
      <c r="L261" t="s">
        <v>17</v>
      </c>
    </row>
    <row r="262" spans="1:12" x14ac:dyDescent="0.35">
      <c r="A262">
        <v>261</v>
      </c>
      <c r="B262" t="s">
        <v>286</v>
      </c>
      <c r="C262">
        <v>52</v>
      </c>
      <c r="D262" t="s">
        <v>13</v>
      </c>
      <c r="E262" t="s">
        <v>27</v>
      </c>
      <c r="F262">
        <v>4322</v>
      </c>
      <c r="G262" s="1">
        <v>44771</v>
      </c>
      <c r="H262">
        <v>3</v>
      </c>
      <c r="I262">
        <v>4</v>
      </c>
      <c r="J262" t="s">
        <v>15</v>
      </c>
      <c r="K262" t="s">
        <v>16</v>
      </c>
      <c r="L262" t="s">
        <v>17</v>
      </c>
    </row>
    <row r="263" spans="1:12" x14ac:dyDescent="0.35">
      <c r="A263">
        <v>262</v>
      </c>
      <c r="B263" t="s">
        <v>287</v>
      </c>
      <c r="C263">
        <v>18</v>
      </c>
      <c r="D263" t="s">
        <v>19</v>
      </c>
      <c r="E263" t="s">
        <v>27</v>
      </c>
      <c r="F263">
        <v>7774</v>
      </c>
      <c r="G263" s="1">
        <v>42359</v>
      </c>
      <c r="I263">
        <v>12</v>
      </c>
      <c r="J263" t="s">
        <v>21</v>
      </c>
      <c r="K263" t="s">
        <v>22</v>
      </c>
      <c r="L263" t="s">
        <v>25</v>
      </c>
    </row>
    <row r="264" spans="1:12" x14ac:dyDescent="0.35">
      <c r="A264">
        <v>263</v>
      </c>
      <c r="B264" t="s">
        <v>288</v>
      </c>
      <c r="C264">
        <v>58</v>
      </c>
      <c r="D264" t="s">
        <v>35</v>
      </c>
      <c r="E264" t="s">
        <v>27</v>
      </c>
      <c r="F264">
        <v>3439</v>
      </c>
      <c r="G264" s="1">
        <v>44908</v>
      </c>
      <c r="H264">
        <v>0</v>
      </c>
      <c r="I264">
        <v>16</v>
      </c>
      <c r="J264" t="s">
        <v>15</v>
      </c>
      <c r="K264" t="s">
        <v>22</v>
      </c>
      <c r="L264" t="s">
        <v>23</v>
      </c>
    </row>
    <row r="265" spans="1:12" x14ac:dyDescent="0.35">
      <c r="A265">
        <v>264</v>
      </c>
      <c r="B265" t="s">
        <v>289</v>
      </c>
      <c r="C265">
        <v>40</v>
      </c>
      <c r="D265" t="s">
        <v>19</v>
      </c>
      <c r="E265" t="s">
        <v>20</v>
      </c>
      <c r="F265">
        <v>9455</v>
      </c>
      <c r="G265" s="1">
        <v>45249</v>
      </c>
      <c r="H265">
        <v>1</v>
      </c>
      <c r="I265">
        <v>14</v>
      </c>
      <c r="J265" t="s">
        <v>15</v>
      </c>
      <c r="K265" t="s">
        <v>22</v>
      </c>
      <c r="L265" t="s">
        <v>25</v>
      </c>
    </row>
    <row r="266" spans="1:12" x14ac:dyDescent="0.35">
      <c r="A266">
        <v>265</v>
      </c>
      <c r="B266" t="s">
        <v>290</v>
      </c>
      <c r="C266">
        <v>31</v>
      </c>
      <c r="D266" t="s">
        <v>35</v>
      </c>
      <c r="E266" t="s">
        <v>27</v>
      </c>
      <c r="F266">
        <v>7692</v>
      </c>
      <c r="G266" s="1">
        <v>43344</v>
      </c>
      <c r="H266">
        <v>1</v>
      </c>
      <c r="I266">
        <v>19</v>
      </c>
      <c r="J266" t="s">
        <v>21</v>
      </c>
      <c r="K266" t="s">
        <v>22</v>
      </c>
      <c r="L266" t="s">
        <v>17</v>
      </c>
    </row>
    <row r="267" spans="1:12" x14ac:dyDescent="0.35">
      <c r="A267">
        <v>266</v>
      </c>
      <c r="B267" t="s">
        <v>291</v>
      </c>
      <c r="C267">
        <v>65</v>
      </c>
      <c r="D267" t="s">
        <v>19</v>
      </c>
      <c r="E267" t="s">
        <v>20</v>
      </c>
      <c r="F267">
        <v>8334</v>
      </c>
      <c r="G267" s="1">
        <v>45440</v>
      </c>
      <c r="H267">
        <v>2</v>
      </c>
      <c r="I267">
        <v>15</v>
      </c>
      <c r="J267" t="s">
        <v>15</v>
      </c>
      <c r="K267" t="s">
        <v>16</v>
      </c>
      <c r="L267" t="s">
        <v>23</v>
      </c>
    </row>
    <row r="268" spans="1:12" x14ac:dyDescent="0.35">
      <c r="A268">
        <v>267</v>
      </c>
      <c r="B268" t="s">
        <v>292</v>
      </c>
      <c r="C268">
        <v>50</v>
      </c>
      <c r="D268" t="s">
        <v>35</v>
      </c>
      <c r="E268" t="s">
        <v>27</v>
      </c>
      <c r="F268">
        <v>5970</v>
      </c>
      <c r="G268" s="1">
        <v>42544</v>
      </c>
      <c r="H268">
        <v>2</v>
      </c>
      <c r="I268">
        <v>4</v>
      </c>
      <c r="J268" t="s">
        <v>15</v>
      </c>
      <c r="K268" t="s">
        <v>16</v>
      </c>
      <c r="L268" t="s">
        <v>25</v>
      </c>
    </row>
    <row r="269" spans="1:12" x14ac:dyDescent="0.35">
      <c r="A269">
        <v>268</v>
      </c>
      <c r="B269" t="s">
        <v>293</v>
      </c>
      <c r="C269">
        <v>19</v>
      </c>
      <c r="D269" t="s">
        <v>19</v>
      </c>
      <c r="E269" t="s">
        <v>14</v>
      </c>
      <c r="F269">
        <v>3504</v>
      </c>
      <c r="G269" s="1">
        <v>43925</v>
      </c>
      <c r="I269">
        <v>14</v>
      </c>
      <c r="J269" t="s">
        <v>15</v>
      </c>
      <c r="K269" t="s">
        <v>30</v>
      </c>
      <c r="L269" t="s">
        <v>17</v>
      </c>
    </row>
    <row r="270" spans="1:12" x14ac:dyDescent="0.35">
      <c r="A270">
        <v>269</v>
      </c>
      <c r="B270" t="s">
        <v>294</v>
      </c>
      <c r="C270">
        <v>30</v>
      </c>
      <c r="D270" t="s">
        <v>13</v>
      </c>
      <c r="E270" t="s">
        <v>14</v>
      </c>
      <c r="F270">
        <v>4107</v>
      </c>
      <c r="G270" s="1">
        <v>43436</v>
      </c>
      <c r="H270">
        <v>3</v>
      </c>
      <c r="I270">
        <v>14</v>
      </c>
      <c r="J270" t="s">
        <v>21</v>
      </c>
      <c r="K270" t="s">
        <v>30</v>
      </c>
      <c r="L270" t="s">
        <v>17</v>
      </c>
    </row>
    <row r="271" spans="1:12" x14ac:dyDescent="0.35">
      <c r="A271">
        <v>270</v>
      </c>
      <c r="B271" t="s">
        <v>295</v>
      </c>
      <c r="C271">
        <v>31</v>
      </c>
      <c r="D271" t="s">
        <v>19</v>
      </c>
      <c r="E271" t="s">
        <v>20</v>
      </c>
      <c r="F271">
        <v>5819</v>
      </c>
      <c r="G271" s="1">
        <v>45158</v>
      </c>
      <c r="I271">
        <v>8</v>
      </c>
      <c r="J271" t="s">
        <v>21</v>
      </c>
      <c r="K271" t="s">
        <v>22</v>
      </c>
      <c r="L271" t="s">
        <v>25</v>
      </c>
    </row>
    <row r="272" spans="1:12" x14ac:dyDescent="0.35">
      <c r="A272">
        <v>271</v>
      </c>
      <c r="B272" t="s">
        <v>296</v>
      </c>
      <c r="C272">
        <v>30</v>
      </c>
      <c r="D272" t="s">
        <v>13</v>
      </c>
      <c r="E272" t="s">
        <v>27</v>
      </c>
      <c r="F272">
        <v>5472</v>
      </c>
      <c r="G272" s="1">
        <v>45298</v>
      </c>
      <c r="I272">
        <v>6</v>
      </c>
      <c r="J272" t="s">
        <v>21</v>
      </c>
      <c r="K272" t="s">
        <v>16</v>
      </c>
      <c r="L272" t="s">
        <v>23</v>
      </c>
    </row>
    <row r="273" spans="1:12" x14ac:dyDescent="0.35">
      <c r="A273">
        <v>272</v>
      </c>
      <c r="B273" t="s">
        <v>297</v>
      </c>
      <c r="C273">
        <v>65</v>
      </c>
      <c r="D273" t="s">
        <v>19</v>
      </c>
      <c r="E273" t="s">
        <v>20</v>
      </c>
      <c r="F273">
        <v>2417</v>
      </c>
      <c r="G273" s="1">
        <v>44365</v>
      </c>
      <c r="H273">
        <v>2</v>
      </c>
      <c r="I273">
        <v>17</v>
      </c>
      <c r="J273" t="s">
        <v>15</v>
      </c>
      <c r="K273" t="s">
        <v>30</v>
      </c>
      <c r="L273" t="s">
        <v>25</v>
      </c>
    </row>
    <row r="274" spans="1:12" x14ac:dyDescent="0.35">
      <c r="A274">
        <v>273</v>
      </c>
      <c r="B274" t="s">
        <v>298</v>
      </c>
      <c r="C274">
        <v>25</v>
      </c>
      <c r="D274" t="s">
        <v>13</v>
      </c>
      <c r="E274" t="s">
        <v>27</v>
      </c>
      <c r="F274">
        <v>8613</v>
      </c>
      <c r="G274" s="1">
        <v>42694</v>
      </c>
      <c r="I274">
        <v>3</v>
      </c>
      <c r="J274" t="s">
        <v>21</v>
      </c>
      <c r="K274" t="s">
        <v>30</v>
      </c>
      <c r="L274" t="s">
        <v>17</v>
      </c>
    </row>
    <row r="275" spans="1:12" x14ac:dyDescent="0.35">
      <c r="A275">
        <v>274</v>
      </c>
      <c r="B275" t="s">
        <v>299</v>
      </c>
      <c r="C275">
        <v>30</v>
      </c>
      <c r="D275" t="s">
        <v>19</v>
      </c>
      <c r="E275" t="s">
        <v>14</v>
      </c>
      <c r="F275">
        <v>4347</v>
      </c>
      <c r="G275" s="1">
        <v>43116</v>
      </c>
      <c r="H275">
        <v>4</v>
      </c>
      <c r="I275">
        <v>6</v>
      </c>
      <c r="J275" t="s">
        <v>21</v>
      </c>
      <c r="K275" t="s">
        <v>16</v>
      </c>
      <c r="L275" t="s">
        <v>25</v>
      </c>
    </row>
    <row r="276" spans="1:12" x14ac:dyDescent="0.35">
      <c r="A276">
        <v>275</v>
      </c>
      <c r="B276" t="s">
        <v>300</v>
      </c>
      <c r="C276">
        <v>48</v>
      </c>
      <c r="D276" t="s">
        <v>13</v>
      </c>
      <c r="E276" t="s">
        <v>20</v>
      </c>
      <c r="F276">
        <v>7287</v>
      </c>
      <c r="G276" s="1">
        <v>43530</v>
      </c>
      <c r="H276">
        <v>1</v>
      </c>
      <c r="I276">
        <v>9</v>
      </c>
      <c r="J276" t="s">
        <v>15</v>
      </c>
      <c r="K276" t="s">
        <v>22</v>
      </c>
      <c r="L276" t="s">
        <v>17</v>
      </c>
    </row>
    <row r="277" spans="1:12" x14ac:dyDescent="0.35">
      <c r="A277">
        <v>276</v>
      </c>
      <c r="B277" t="s">
        <v>301</v>
      </c>
      <c r="C277">
        <v>22</v>
      </c>
      <c r="D277" t="s">
        <v>35</v>
      </c>
      <c r="E277" t="s">
        <v>20</v>
      </c>
      <c r="F277">
        <v>9749</v>
      </c>
      <c r="G277" s="1">
        <v>43600</v>
      </c>
      <c r="H277">
        <v>0</v>
      </c>
      <c r="I277">
        <v>5</v>
      </c>
      <c r="J277" t="s">
        <v>15</v>
      </c>
      <c r="K277" t="s">
        <v>22</v>
      </c>
      <c r="L277" t="s">
        <v>25</v>
      </c>
    </row>
    <row r="278" spans="1:12" x14ac:dyDescent="0.35">
      <c r="A278">
        <v>277</v>
      </c>
      <c r="B278" t="s">
        <v>302</v>
      </c>
      <c r="C278">
        <v>45</v>
      </c>
      <c r="D278" t="s">
        <v>13</v>
      </c>
      <c r="E278" t="s">
        <v>27</v>
      </c>
      <c r="F278">
        <v>4514</v>
      </c>
      <c r="G278" s="1">
        <v>44723</v>
      </c>
      <c r="H278">
        <v>4</v>
      </c>
      <c r="I278">
        <v>2</v>
      </c>
      <c r="J278" t="s">
        <v>15</v>
      </c>
      <c r="K278" t="s">
        <v>22</v>
      </c>
      <c r="L278" t="s">
        <v>25</v>
      </c>
    </row>
    <row r="279" spans="1:12" x14ac:dyDescent="0.35">
      <c r="A279">
        <v>278</v>
      </c>
      <c r="B279" t="s">
        <v>303</v>
      </c>
      <c r="C279">
        <v>22</v>
      </c>
      <c r="D279" t="s">
        <v>19</v>
      </c>
      <c r="E279" t="s">
        <v>20</v>
      </c>
      <c r="F279">
        <v>4226</v>
      </c>
      <c r="G279" s="1">
        <v>45566</v>
      </c>
      <c r="I279">
        <v>8</v>
      </c>
      <c r="J279" t="s">
        <v>15</v>
      </c>
      <c r="K279" t="s">
        <v>30</v>
      </c>
      <c r="L279" t="s">
        <v>25</v>
      </c>
    </row>
    <row r="280" spans="1:12" x14ac:dyDescent="0.35">
      <c r="A280">
        <v>279</v>
      </c>
      <c r="B280" t="s">
        <v>304</v>
      </c>
      <c r="C280">
        <v>49</v>
      </c>
      <c r="D280" t="s">
        <v>35</v>
      </c>
      <c r="E280" t="s">
        <v>27</v>
      </c>
      <c r="F280">
        <v>7561</v>
      </c>
      <c r="G280" s="1">
        <v>42735</v>
      </c>
      <c r="H280">
        <v>0</v>
      </c>
      <c r="I280">
        <v>14</v>
      </c>
      <c r="J280" t="s">
        <v>15</v>
      </c>
      <c r="K280" t="s">
        <v>30</v>
      </c>
      <c r="L280" t="s">
        <v>23</v>
      </c>
    </row>
    <row r="281" spans="1:12" x14ac:dyDescent="0.35">
      <c r="A281">
        <v>280</v>
      </c>
      <c r="B281" t="s">
        <v>305</v>
      </c>
      <c r="C281">
        <v>39</v>
      </c>
      <c r="D281" t="s">
        <v>13</v>
      </c>
      <c r="E281" t="s">
        <v>27</v>
      </c>
      <c r="F281">
        <v>5956</v>
      </c>
      <c r="G281" s="1">
        <v>42110</v>
      </c>
      <c r="H281">
        <v>5</v>
      </c>
      <c r="I281">
        <v>16</v>
      </c>
      <c r="J281" t="s">
        <v>21</v>
      </c>
      <c r="K281" t="s">
        <v>22</v>
      </c>
      <c r="L281" t="s">
        <v>25</v>
      </c>
    </row>
    <row r="282" spans="1:12" x14ac:dyDescent="0.35">
      <c r="A282">
        <v>281</v>
      </c>
      <c r="B282" t="s">
        <v>306</v>
      </c>
      <c r="C282">
        <v>49</v>
      </c>
      <c r="D282" t="s">
        <v>19</v>
      </c>
      <c r="E282" t="s">
        <v>27</v>
      </c>
      <c r="F282">
        <v>2175</v>
      </c>
      <c r="G282" s="1">
        <v>44690</v>
      </c>
      <c r="I282">
        <v>16</v>
      </c>
      <c r="J282" t="s">
        <v>15</v>
      </c>
      <c r="K282" t="s">
        <v>30</v>
      </c>
      <c r="L282" t="s">
        <v>25</v>
      </c>
    </row>
    <row r="283" spans="1:12" x14ac:dyDescent="0.35">
      <c r="A283">
        <v>282</v>
      </c>
      <c r="B283" t="s">
        <v>307</v>
      </c>
      <c r="C283">
        <v>42</v>
      </c>
      <c r="D283" t="s">
        <v>19</v>
      </c>
      <c r="E283" t="s">
        <v>20</v>
      </c>
      <c r="F283">
        <v>5756</v>
      </c>
      <c r="G283" s="1">
        <v>43720</v>
      </c>
      <c r="I283">
        <v>13</v>
      </c>
      <c r="J283" t="s">
        <v>15</v>
      </c>
      <c r="K283" t="s">
        <v>30</v>
      </c>
      <c r="L283" t="s">
        <v>25</v>
      </c>
    </row>
    <row r="284" spans="1:12" x14ac:dyDescent="0.35">
      <c r="A284">
        <v>283</v>
      </c>
      <c r="B284" t="s">
        <v>308</v>
      </c>
      <c r="C284">
        <v>45</v>
      </c>
      <c r="D284" t="s">
        <v>19</v>
      </c>
      <c r="E284" t="s">
        <v>20</v>
      </c>
      <c r="F284">
        <v>4104</v>
      </c>
      <c r="G284" s="1">
        <v>42996</v>
      </c>
      <c r="H284">
        <v>3</v>
      </c>
      <c r="I284">
        <v>5</v>
      </c>
      <c r="J284" t="s">
        <v>15</v>
      </c>
      <c r="K284" t="s">
        <v>30</v>
      </c>
      <c r="L284" t="s">
        <v>23</v>
      </c>
    </row>
    <row r="285" spans="1:12" x14ac:dyDescent="0.35">
      <c r="A285">
        <v>284</v>
      </c>
      <c r="B285" t="s">
        <v>309</v>
      </c>
      <c r="C285">
        <v>18</v>
      </c>
      <c r="D285" t="s">
        <v>35</v>
      </c>
      <c r="E285" t="s">
        <v>20</v>
      </c>
      <c r="F285">
        <v>2364</v>
      </c>
      <c r="G285" s="1">
        <v>42701</v>
      </c>
      <c r="H285">
        <v>2</v>
      </c>
      <c r="I285">
        <v>12</v>
      </c>
      <c r="J285" t="s">
        <v>15</v>
      </c>
      <c r="K285" t="s">
        <v>22</v>
      </c>
      <c r="L285" t="s">
        <v>25</v>
      </c>
    </row>
    <row r="286" spans="1:12" x14ac:dyDescent="0.35">
      <c r="A286">
        <v>285</v>
      </c>
      <c r="B286" t="s">
        <v>310</v>
      </c>
      <c r="C286">
        <v>63</v>
      </c>
      <c r="D286" t="s">
        <v>35</v>
      </c>
      <c r="E286" t="s">
        <v>14</v>
      </c>
      <c r="F286">
        <v>8704</v>
      </c>
      <c r="G286" s="1">
        <v>44467</v>
      </c>
      <c r="I286">
        <v>10</v>
      </c>
      <c r="J286" t="s">
        <v>21</v>
      </c>
      <c r="K286" t="s">
        <v>22</v>
      </c>
      <c r="L286" t="s">
        <v>25</v>
      </c>
    </row>
    <row r="287" spans="1:12" x14ac:dyDescent="0.35">
      <c r="A287">
        <v>286</v>
      </c>
      <c r="B287" t="s">
        <v>311</v>
      </c>
      <c r="C287">
        <v>29</v>
      </c>
      <c r="D287" t="s">
        <v>13</v>
      </c>
      <c r="E287" t="s">
        <v>20</v>
      </c>
      <c r="F287">
        <v>2993</v>
      </c>
      <c r="G287" s="1">
        <v>42049</v>
      </c>
      <c r="I287">
        <v>8</v>
      </c>
      <c r="J287" t="s">
        <v>21</v>
      </c>
      <c r="K287" t="s">
        <v>22</v>
      </c>
      <c r="L287" t="s">
        <v>25</v>
      </c>
    </row>
    <row r="288" spans="1:12" x14ac:dyDescent="0.35">
      <c r="A288">
        <v>287</v>
      </c>
      <c r="B288" t="s">
        <v>312</v>
      </c>
      <c r="C288">
        <v>20</v>
      </c>
      <c r="D288" t="s">
        <v>19</v>
      </c>
      <c r="E288" t="s">
        <v>27</v>
      </c>
      <c r="F288">
        <v>4409</v>
      </c>
      <c r="G288" s="1">
        <v>42307</v>
      </c>
      <c r="I288">
        <v>20</v>
      </c>
      <c r="J288" t="s">
        <v>21</v>
      </c>
      <c r="K288" t="s">
        <v>16</v>
      </c>
      <c r="L288" t="s">
        <v>17</v>
      </c>
    </row>
    <row r="289" spans="1:12" x14ac:dyDescent="0.35">
      <c r="A289">
        <v>288</v>
      </c>
      <c r="B289" t="s">
        <v>313</v>
      </c>
      <c r="C289">
        <v>60</v>
      </c>
      <c r="D289" t="s">
        <v>19</v>
      </c>
      <c r="E289" t="s">
        <v>14</v>
      </c>
      <c r="F289">
        <v>3162</v>
      </c>
      <c r="G289" s="1">
        <v>42900</v>
      </c>
      <c r="I289">
        <v>20</v>
      </c>
      <c r="J289" t="s">
        <v>15</v>
      </c>
      <c r="K289" t="s">
        <v>16</v>
      </c>
      <c r="L289" t="s">
        <v>17</v>
      </c>
    </row>
    <row r="290" spans="1:12" x14ac:dyDescent="0.35">
      <c r="A290">
        <v>289</v>
      </c>
      <c r="B290" t="s">
        <v>314</v>
      </c>
      <c r="C290">
        <v>54</v>
      </c>
      <c r="D290" t="s">
        <v>19</v>
      </c>
      <c r="E290" t="s">
        <v>20</v>
      </c>
      <c r="F290">
        <v>5523</v>
      </c>
      <c r="G290" s="1">
        <v>43882</v>
      </c>
      <c r="I290">
        <v>9</v>
      </c>
      <c r="J290" t="s">
        <v>21</v>
      </c>
      <c r="K290" t="s">
        <v>30</v>
      </c>
      <c r="L290" t="s">
        <v>17</v>
      </c>
    </row>
    <row r="291" spans="1:12" x14ac:dyDescent="0.35">
      <c r="A291">
        <v>290</v>
      </c>
      <c r="B291" t="s">
        <v>315</v>
      </c>
      <c r="C291">
        <v>30</v>
      </c>
      <c r="D291" t="s">
        <v>13</v>
      </c>
      <c r="E291" t="s">
        <v>27</v>
      </c>
      <c r="F291">
        <v>9921</v>
      </c>
      <c r="G291" s="1">
        <v>43374</v>
      </c>
      <c r="H291">
        <v>3</v>
      </c>
      <c r="I291">
        <v>2</v>
      </c>
      <c r="J291" t="s">
        <v>21</v>
      </c>
      <c r="K291" t="s">
        <v>16</v>
      </c>
      <c r="L291" t="s">
        <v>25</v>
      </c>
    </row>
    <row r="292" spans="1:12" x14ac:dyDescent="0.35">
      <c r="A292">
        <v>291</v>
      </c>
      <c r="B292" t="s">
        <v>316</v>
      </c>
      <c r="C292">
        <v>25</v>
      </c>
      <c r="D292" t="s">
        <v>35</v>
      </c>
      <c r="E292" t="s">
        <v>27</v>
      </c>
      <c r="F292">
        <v>7864</v>
      </c>
      <c r="G292" s="1">
        <v>42350</v>
      </c>
      <c r="H292">
        <v>3</v>
      </c>
      <c r="I292">
        <v>19</v>
      </c>
      <c r="J292" t="s">
        <v>21</v>
      </c>
      <c r="K292" t="s">
        <v>22</v>
      </c>
      <c r="L292" t="s">
        <v>25</v>
      </c>
    </row>
    <row r="293" spans="1:12" x14ac:dyDescent="0.35">
      <c r="A293">
        <v>292</v>
      </c>
      <c r="B293" t="s">
        <v>317</v>
      </c>
      <c r="C293">
        <v>47</v>
      </c>
      <c r="D293" t="s">
        <v>19</v>
      </c>
      <c r="E293" t="s">
        <v>27</v>
      </c>
      <c r="F293">
        <v>8158</v>
      </c>
      <c r="G293" s="1">
        <v>44599</v>
      </c>
      <c r="H293">
        <v>2</v>
      </c>
      <c r="I293">
        <v>6</v>
      </c>
      <c r="J293" t="s">
        <v>21</v>
      </c>
      <c r="K293" t="s">
        <v>30</v>
      </c>
      <c r="L293" t="s">
        <v>17</v>
      </c>
    </row>
    <row r="294" spans="1:12" x14ac:dyDescent="0.35">
      <c r="A294">
        <v>293</v>
      </c>
      <c r="B294" t="s">
        <v>318</v>
      </c>
      <c r="C294">
        <v>29</v>
      </c>
      <c r="D294" t="s">
        <v>35</v>
      </c>
      <c r="E294" t="s">
        <v>14</v>
      </c>
      <c r="F294">
        <v>5883</v>
      </c>
      <c r="G294" s="1">
        <v>42547</v>
      </c>
      <c r="H294">
        <v>4</v>
      </c>
      <c r="I294">
        <v>18</v>
      </c>
      <c r="J294" t="s">
        <v>21</v>
      </c>
      <c r="K294" t="s">
        <v>16</v>
      </c>
      <c r="L294" t="s">
        <v>23</v>
      </c>
    </row>
    <row r="295" spans="1:12" x14ac:dyDescent="0.35">
      <c r="A295">
        <v>294</v>
      </c>
      <c r="B295" t="s">
        <v>319</v>
      </c>
      <c r="C295">
        <v>41</v>
      </c>
      <c r="D295" t="s">
        <v>19</v>
      </c>
      <c r="E295" t="s">
        <v>27</v>
      </c>
      <c r="F295">
        <v>3174</v>
      </c>
      <c r="G295" s="1">
        <v>42983</v>
      </c>
      <c r="H295">
        <v>2</v>
      </c>
      <c r="I295">
        <v>16</v>
      </c>
      <c r="J295" t="s">
        <v>21</v>
      </c>
      <c r="K295" t="s">
        <v>16</v>
      </c>
      <c r="L295" t="s">
        <v>17</v>
      </c>
    </row>
    <row r="296" spans="1:12" x14ac:dyDescent="0.35">
      <c r="A296">
        <v>295</v>
      </c>
      <c r="B296" t="s">
        <v>320</v>
      </c>
      <c r="C296">
        <v>24</v>
      </c>
      <c r="D296" t="s">
        <v>19</v>
      </c>
      <c r="E296" t="s">
        <v>20</v>
      </c>
      <c r="F296">
        <v>7332</v>
      </c>
      <c r="G296" s="1">
        <v>44163</v>
      </c>
      <c r="H296">
        <v>2</v>
      </c>
      <c r="I296">
        <v>10</v>
      </c>
      <c r="J296" t="s">
        <v>15</v>
      </c>
      <c r="K296" t="s">
        <v>16</v>
      </c>
      <c r="L296" t="s">
        <v>17</v>
      </c>
    </row>
    <row r="297" spans="1:12" x14ac:dyDescent="0.35">
      <c r="A297">
        <v>296</v>
      </c>
      <c r="B297" t="s">
        <v>321</v>
      </c>
      <c r="C297">
        <v>21</v>
      </c>
      <c r="D297" t="s">
        <v>19</v>
      </c>
      <c r="E297" t="s">
        <v>14</v>
      </c>
      <c r="F297">
        <v>4009</v>
      </c>
      <c r="G297" s="1">
        <v>42057</v>
      </c>
      <c r="H297">
        <v>2</v>
      </c>
      <c r="I297">
        <v>13</v>
      </c>
      <c r="J297" t="s">
        <v>21</v>
      </c>
      <c r="K297" t="s">
        <v>22</v>
      </c>
      <c r="L297" t="s">
        <v>17</v>
      </c>
    </row>
    <row r="298" spans="1:12" x14ac:dyDescent="0.35">
      <c r="A298">
        <v>297</v>
      </c>
      <c r="B298" t="s">
        <v>322</v>
      </c>
      <c r="C298">
        <v>20</v>
      </c>
      <c r="D298" t="s">
        <v>35</v>
      </c>
      <c r="E298" t="s">
        <v>27</v>
      </c>
      <c r="F298">
        <v>8316</v>
      </c>
      <c r="G298" s="1">
        <v>44236</v>
      </c>
      <c r="I298">
        <v>5</v>
      </c>
      <c r="J298" t="s">
        <v>21</v>
      </c>
      <c r="K298" t="s">
        <v>16</v>
      </c>
      <c r="L298" t="s">
        <v>17</v>
      </c>
    </row>
    <row r="299" spans="1:12" x14ac:dyDescent="0.35">
      <c r="A299">
        <v>298</v>
      </c>
      <c r="B299" t="s">
        <v>323</v>
      </c>
      <c r="C299">
        <v>55</v>
      </c>
      <c r="D299" t="s">
        <v>13</v>
      </c>
      <c r="E299" t="s">
        <v>20</v>
      </c>
      <c r="F299">
        <v>2414</v>
      </c>
      <c r="G299" s="1">
        <v>44137</v>
      </c>
      <c r="H299">
        <v>3</v>
      </c>
      <c r="I299">
        <v>4</v>
      </c>
      <c r="J299" t="s">
        <v>15</v>
      </c>
      <c r="K299" t="s">
        <v>30</v>
      </c>
      <c r="L299" t="s">
        <v>17</v>
      </c>
    </row>
    <row r="300" spans="1:12" x14ac:dyDescent="0.35">
      <c r="A300">
        <v>299</v>
      </c>
      <c r="B300" t="s">
        <v>324</v>
      </c>
      <c r="C300">
        <v>45</v>
      </c>
      <c r="D300" t="s">
        <v>35</v>
      </c>
      <c r="E300" t="s">
        <v>20</v>
      </c>
      <c r="F300">
        <v>2330</v>
      </c>
      <c r="G300" s="1">
        <v>42202</v>
      </c>
      <c r="I300">
        <v>17</v>
      </c>
      <c r="J300" t="s">
        <v>21</v>
      </c>
      <c r="K300" t="s">
        <v>16</v>
      </c>
      <c r="L300" t="s">
        <v>23</v>
      </c>
    </row>
    <row r="301" spans="1:12" x14ac:dyDescent="0.35">
      <c r="A301">
        <v>300</v>
      </c>
      <c r="B301" t="s">
        <v>325</v>
      </c>
      <c r="C301">
        <v>38</v>
      </c>
      <c r="D301" t="s">
        <v>13</v>
      </c>
      <c r="E301" t="s">
        <v>20</v>
      </c>
      <c r="F301">
        <v>9375</v>
      </c>
      <c r="G301" s="1">
        <v>44918</v>
      </c>
      <c r="I301">
        <v>2</v>
      </c>
      <c r="J301" t="s">
        <v>21</v>
      </c>
      <c r="K301" t="s">
        <v>16</v>
      </c>
      <c r="L301" t="s">
        <v>25</v>
      </c>
    </row>
    <row r="302" spans="1:12" x14ac:dyDescent="0.35">
      <c r="A302">
        <v>301</v>
      </c>
      <c r="B302" t="s">
        <v>326</v>
      </c>
      <c r="C302">
        <v>31</v>
      </c>
      <c r="D302" t="s">
        <v>13</v>
      </c>
      <c r="E302" t="s">
        <v>14</v>
      </c>
      <c r="F302">
        <v>7039</v>
      </c>
      <c r="G302" s="1">
        <v>44222</v>
      </c>
      <c r="H302">
        <v>0</v>
      </c>
      <c r="I302">
        <v>18</v>
      </c>
      <c r="J302" t="s">
        <v>15</v>
      </c>
      <c r="K302" t="s">
        <v>30</v>
      </c>
      <c r="L302" t="s">
        <v>23</v>
      </c>
    </row>
    <row r="303" spans="1:12" x14ac:dyDescent="0.35">
      <c r="A303">
        <v>302</v>
      </c>
      <c r="B303" t="s">
        <v>327</v>
      </c>
      <c r="C303">
        <v>26</v>
      </c>
      <c r="D303" t="s">
        <v>13</v>
      </c>
      <c r="E303" t="s">
        <v>20</v>
      </c>
      <c r="F303">
        <v>8385</v>
      </c>
      <c r="G303" s="1">
        <v>45216</v>
      </c>
      <c r="H303">
        <v>0</v>
      </c>
      <c r="I303">
        <v>15</v>
      </c>
      <c r="J303" t="s">
        <v>15</v>
      </c>
      <c r="K303" t="s">
        <v>16</v>
      </c>
      <c r="L303" t="s">
        <v>23</v>
      </c>
    </row>
    <row r="304" spans="1:12" x14ac:dyDescent="0.35">
      <c r="A304">
        <v>303</v>
      </c>
      <c r="B304" t="s">
        <v>328</v>
      </c>
      <c r="C304">
        <v>31</v>
      </c>
      <c r="D304" t="s">
        <v>19</v>
      </c>
      <c r="E304" t="s">
        <v>27</v>
      </c>
      <c r="F304">
        <v>3002</v>
      </c>
      <c r="G304" s="1">
        <v>43345</v>
      </c>
      <c r="H304">
        <v>1</v>
      </c>
      <c r="I304">
        <v>9</v>
      </c>
      <c r="J304" t="s">
        <v>15</v>
      </c>
      <c r="K304" t="s">
        <v>22</v>
      </c>
      <c r="L304" t="s">
        <v>25</v>
      </c>
    </row>
    <row r="305" spans="1:12" x14ac:dyDescent="0.35">
      <c r="A305">
        <v>304</v>
      </c>
      <c r="B305" t="s">
        <v>329</v>
      </c>
      <c r="C305">
        <v>27</v>
      </c>
      <c r="D305" t="s">
        <v>13</v>
      </c>
      <c r="E305" t="s">
        <v>14</v>
      </c>
      <c r="F305">
        <v>6648</v>
      </c>
      <c r="G305" s="1">
        <v>43500</v>
      </c>
      <c r="I305">
        <v>18</v>
      </c>
      <c r="J305" t="s">
        <v>21</v>
      </c>
      <c r="K305" t="s">
        <v>22</v>
      </c>
      <c r="L305" t="s">
        <v>23</v>
      </c>
    </row>
    <row r="306" spans="1:12" x14ac:dyDescent="0.35">
      <c r="A306">
        <v>305</v>
      </c>
      <c r="B306" t="s">
        <v>330</v>
      </c>
      <c r="C306">
        <v>55</v>
      </c>
      <c r="D306" t="s">
        <v>35</v>
      </c>
      <c r="E306" t="s">
        <v>20</v>
      </c>
      <c r="F306">
        <v>7545</v>
      </c>
      <c r="G306" s="1">
        <v>43038</v>
      </c>
      <c r="I306">
        <v>11</v>
      </c>
      <c r="J306" t="s">
        <v>21</v>
      </c>
      <c r="K306" t="s">
        <v>16</v>
      </c>
      <c r="L306" t="s">
        <v>17</v>
      </c>
    </row>
    <row r="307" spans="1:12" x14ac:dyDescent="0.35">
      <c r="A307">
        <v>306</v>
      </c>
      <c r="B307" t="s">
        <v>331</v>
      </c>
      <c r="C307">
        <v>36</v>
      </c>
      <c r="D307" t="s">
        <v>19</v>
      </c>
      <c r="E307" t="s">
        <v>20</v>
      </c>
      <c r="F307">
        <v>7992</v>
      </c>
      <c r="G307" s="1">
        <v>45402</v>
      </c>
      <c r="H307">
        <v>2</v>
      </c>
      <c r="I307">
        <v>7</v>
      </c>
      <c r="J307" t="s">
        <v>15</v>
      </c>
      <c r="K307" t="s">
        <v>16</v>
      </c>
      <c r="L307" t="s">
        <v>25</v>
      </c>
    </row>
    <row r="308" spans="1:12" x14ac:dyDescent="0.35">
      <c r="A308">
        <v>307</v>
      </c>
      <c r="B308" t="s">
        <v>332</v>
      </c>
      <c r="C308">
        <v>57</v>
      </c>
      <c r="D308" t="s">
        <v>35</v>
      </c>
      <c r="E308" t="s">
        <v>14</v>
      </c>
      <c r="F308">
        <v>9161</v>
      </c>
      <c r="G308" s="1">
        <v>44775</v>
      </c>
      <c r="I308">
        <v>5</v>
      </c>
      <c r="J308" t="s">
        <v>21</v>
      </c>
      <c r="K308" t="s">
        <v>22</v>
      </c>
      <c r="L308" t="s">
        <v>25</v>
      </c>
    </row>
    <row r="309" spans="1:12" x14ac:dyDescent="0.35">
      <c r="A309">
        <v>308</v>
      </c>
      <c r="B309" t="s">
        <v>333</v>
      </c>
      <c r="C309">
        <v>63</v>
      </c>
      <c r="D309" t="s">
        <v>35</v>
      </c>
      <c r="E309" t="s">
        <v>20</v>
      </c>
      <c r="F309">
        <v>4979</v>
      </c>
      <c r="G309" s="1">
        <v>42269</v>
      </c>
      <c r="H309">
        <v>1</v>
      </c>
      <c r="I309">
        <v>6</v>
      </c>
      <c r="J309" t="s">
        <v>21</v>
      </c>
      <c r="K309" t="s">
        <v>22</v>
      </c>
      <c r="L309" t="s">
        <v>25</v>
      </c>
    </row>
    <row r="310" spans="1:12" x14ac:dyDescent="0.35">
      <c r="A310">
        <v>309</v>
      </c>
      <c r="B310" t="s">
        <v>334</v>
      </c>
      <c r="C310">
        <v>49</v>
      </c>
      <c r="D310" t="s">
        <v>19</v>
      </c>
      <c r="E310" t="s">
        <v>14</v>
      </c>
      <c r="F310">
        <v>7149</v>
      </c>
      <c r="G310" s="1">
        <v>45290</v>
      </c>
      <c r="I310">
        <v>3</v>
      </c>
      <c r="J310" t="s">
        <v>21</v>
      </c>
      <c r="K310" t="s">
        <v>30</v>
      </c>
      <c r="L310" t="s">
        <v>17</v>
      </c>
    </row>
    <row r="311" spans="1:12" x14ac:dyDescent="0.35">
      <c r="A311">
        <v>310</v>
      </c>
      <c r="B311" t="s">
        <v>335</v>
      </c>
      <c r="C311">
        <v>33</v>
      </c>
      <c r="D311" t="s">
        <v>13</v>
      </c>
      <c r="E311" t="s">
        <v>20</v>
      </c>
      <c r="F311">
        <v>3636</v>
      </c>
      <c r="G311" s="1">
        <v>42847</v>
      </c>
      <c r="H311">
        <v>4</v>
      </c>
      <c r="I311">
        <v>7</v>
      </c>
      <c r="J311" t="s">
        <v>15</v>
      </c>
      <c r="K311" t="s">
        <v>30</v>
      </c>
      <c r="L311" t="s">
        <v>25</v>
      </c>
    </row>
    <row r="312" spans="1:12" x14ac:dyDescent="0.35">
      <c r="A312">
        <v>311</v>
      </c>
      <c r="B312" t="s">
        <v>336</v>
      </c>
      <c r="C312">
        <v>51</v>
      </c>
      <c r="D312" t="s">
        <v>13</v>
      </c>
      <c r="E312" t="s">
        <v>20</v>
      </c>
      <c r="F312">
        <v>4572</v>
      </c>
      <c r="G312" s="1">
        <v>44040</v>
      </c>
      <c r="H312">
        <v>4</v>
      </c>
      <c r="I312">
        <v>20</v>
      </c>
      <c r="J312" t="s">
        <v>21</v>
      </c>
      <c r="K312" t="s">
        <v>22</v>
      </c>
      <c r="L312" t="s">
        <v>17</v>
      </c>
    </row>
    <row r="313" spans="1:12" x14ac:dyDescent="0.35">
      <c r="A313">
        <v>312</v>
      </c>
      <c r="B313" t="s">
        <v>337</v>
      </c>
      <c r="C313">
        <v>58</v>
      </c>
      <c r="D313" t="s">
        <v>19</v>
      </c>
      <c r="E313" t="s">
        <v>27</v>
      </c>
      <c r="F313">
        <v>3700</v>
      </c>
      <c r="G313" s="1">
        <v>45033</v>
      </c>
      <c r="I313">
        <v>16</v>
      </c>
      <c r="J313" t="s">
        <v>15</v>
      </c>
      <c r="K313" t="s">
        <v>16</v>
      </c>
      <c r="L313" t="s">
        <v>17</v>
      </c>
    </row>
    <row r="314" spans="1:12" x14ac:dyDescent="0.35">
      <c r="A314">
        <v>313</v>
      </c>
      <c r="B314" t="s">
        <v>338</v>
      </c>
      <c r="C314">
        <v>26</v>
      </c>
      <c r="D314" t="s">
        <v>13</v>
      </c>
      <c r="E314" t="s">
        <v>20</v>
      </c>
      <c r="F314">
        <v>3495</v>
      </c>
      <c r="G314" s="1">
        <v>42007</v>
      </c>
      <c r="H314">
        <v>1</v>
      </c>
      <c r="I314">
        <v>18</v>
      </c>
      <c r="J314" t="s">
        <v>15</v>
      </c>
      <c r="K314" t="s">
        <v>22</v>
      </c>
      <c r="L314" t="s">
        <v>17</v>
      </c>
    </row>
    <row r="315" spans="1:12" x14ac:dyDescent="0.35">
      <c r="A315">
        <v>314</v>
      </c>
      <c r="B315" t="s">
        <v>339</v>
      </c>
      <c r="C315">
        <v>33</v>
      </c>
      <c r="D315" t="s">
        <v>35</v>
      </c>
      <c r="E315" t="s">
        <v>20</v>
      </c>
      <c r="F315">
        <v>4391</v>
      </c>
      <c r="G315" s="1">
        <v>43954</v>
      </c>
      <c r="H315">
        <v>5</v>
      </c>
      <c r="I315">
        <v>6</v>
      </c>
      <c r="J315" t="s">
        <v>21</v>
      </c>
      <c r="K315" t="s">
        <v>22</v>
      </c>
      <c r="L315" t="s">
        <v>17</v>
      </c>
    </row>
    <row r="316" spans="1:12" x14ac:dyDescent="0.35">
      <c r="A316">
        <v>315</v>
      </c>
      <c r="B316" t="s">
        <v>340</v>
      </c>
      <c r="C316">
        <v>45</v>
      </c>
      <c r="D316" t="s">
        <v>19</v>
      </c>
      <c r="E316" t="s">
        <v>27</v>
      </c>
      <c r="F316">
        <v>3700</v>
      </c>
      <c r="G316" s="1">
        <v>42428</v>
      </c>
      <c r="H316">
        <v>3</v>
      </c>
      <c r="I316">
        <v>2</v>
      </c>
      <c r="J316" t="s">
        <v>21</v>
      </c>
      <c r="K316" t="s">
        <v>16</v>
      </c>
      <c r="L316" t="s">
        <v>23</v>
      </c>
    </row>
    <row r="317" spans="1:12" x14ac:dyDescent="0.35">
      <c r="A317">
        <v>316</v>
      </c>
      <c r="B317" t="s">
        <v>341</v>
      </c>
      <c r="C317">
        <v>46</v>
      </c>
      <c r="D317" t="s">
        <v>19</v>
      </c>
      <c r="E317" t="s">
        <v>27</v>
      </c>
      <c r="F317">
        <v>8499</v>
      </c>
      <c r="G317" s="1">
        <v>44903</v>
      </c>
      <c r="I317">
        <v>4</v>
      </c>
      <c r="J317" t="s">
        <v>21</v>
      </c>
      <c r="K317" t="s">
        <v>22</v>
      </c>
      <c r="L317" t="s">
        <v>17</v>
      </c>
    </row>
    <row r="318" spans="1:12" x14ac:dyDescent="0.35">
      <c r="A318">
        <v>317</v>
      </c>
      <c r="B318" t="s">
        <v>342</v>
      </c>
      <c r="C318">
        <v>43</v>
      </c>
      <c r="D318" t="s">
        <v>19</v>
      </c>
      <c r="E318" t="s">
        <v>27</v>
      </c>
      <c r="F318">
        <v>7956</v>
      </c>
      <c r="G318" s="1">
        <v>45091</v>
      </c>
      <c r="I318">
        <v>1</v>
      </c>
      <c r="J318" t="s">
        <v>15</v>
      </c>
      <c r="K318" t="s">
        <v>30</v>
      </c>
      <c r="L318" t="s">
        <v>23</v>
      </c>
    </row>
    <row r="319" spans="1:12" x14ac:dyDescent="0.35">
      <c r="A319">
        <v>318</v>
      </c>
      <c r="B319" t="s">
        <v>343</v>
      </c>
      <c r="C319">
        <v>63</v>
      </c>
      <c r="D319" t="s">
        <v>19</v>
      </c>
      <c r="E319" t="s">
        <v>20</v>
      </c>
      <c r="F319">
        <v>6741</v>
      </c>
      <c r="G319" s="1">
        <v>44271</v>
      </c>
      <c r="H319">
        <v>4</v>
      </c>
      <c r="I319">
        <v>7</v>
      </c>
      <c r="J319" t="s">
        <v>15</v>
      </c>
      <c r="K319" t="s">
        <v>22</v>
      </c>
      <c r="L319" t="s">
        <v>17</v>
      </c>
    </row>
    <row r="320" spans="1:12" x14ac:dyDescent="0.35">
      <c r="A320">
        <v>319</v>
      </c>
      <c r="B320" t="s">
        <v>344</v>
      </c>
      <c r="C320">
        <v>61</v>
      </c>
      <c r="D320" t="s">
        <v>13</v>
      </c>
      <c r="E320" t="s">
        <v>20</v>
      </c>
      <c r="F320">
        <v>7087</v>
      </c>
      <c r="G320" s="1">
        <v>45562</v>
      </c>
      <c r="H320">
        <v>2</v>
      </c>
      <c r="I320">
        <v>11</v>
      </c>
      <c r="J320" t="s">
        <v>15</v>
      </c>
      <c r="K320" t="s">
        <v>22</v>
      </c>
      <c r="L320" t="s">
        <v>17</v>
      </c>
    </row>
    <row r="321" spans="1:12" x14ac:dyDescent="0.35">
      <c r="A321">
        <v>320</v>
      </c>
      <c r="B321" t="s">
        <v>345</v>
      </c>
      <c r="C321">
        <v>58</v>
      </c>
      <c r="D321" t="s">
        <v>19</v>
      </c>
      <c r="E321" t="s">
        <v>27</v>
      </c>
      <c r="F321">
        <v>6233</v>
      </c>
      <c r="G321" s="1">
        <v>45412</v>
      </c>
      <c r="H321">
        <v>1</v>
      </c>
      <c r="I321">
        <v>1</v>
      </c>
      <c r="J321" t="s">
        <v>21</v>
      </c>
      <c r="K321" t="s">
        <v>22</v>
      </c>
      <c r="L321" t="s">
        <v>25</v>
      </c>
    </row>
    <row r="322" spans="1:12" x14ac:dyDescent="0.35">
      <c r="A322">
        <v>321</v>
      </c>
      <c r="B322" t="s">
        <v>346</v>
      </c>
      <c r="C322">
        <v>22</v>
      </c>
      <c r="D322" t="s">
        <v>19</v>
      </c>
      <c r="E322" t="s">
        <v>14</v>
      </c>
      <c r="F322">
        <v>7299</v>
      </c>
      <c r="G322" s="1">
        <v>43764</v>
      </c>
      <c r="H322">
        <v>2</v>
      </c>
      <c r="I322">
        <v>6</v>
      </c>
      <c r="J322" t="s">
        <v>21</v>
      </c>
      <c r="K322" t="s">
        <v>30</v>
      </c>
      <c r="L322" t="s">
        <v>17</v>
      </c>
    </row>
    <row r="323" spans="1:12" x14ac:dyDescent="0.35">
      <c r="A323">
        <v>322</v>
      </c>
      <c r="B323" t="s">
        <v>347</v>
      </c>
      <c r="C323">
        <v>39</v>
      </c>
      <c r="D323" t="s">
        <v>35</v>
      </c>
      <c r="E323" t="s">
        <v>20</v>
      </c>
      <c r="F323">
        <v>7014</v>
      </c>
      <c r="G323" s="1">
        <v>43193</v>
      </c>
      <c r="I323">
        <v>7</v>
      </c>
      <c r="J323" t="s">
        <v>21</v>
      </c>
      <c r="K323" t="s">
        <v>16</v>
      </c>
      <c r="L323" t="s">
        <v>25</v>
      </c>
    </row>
    <row r="324" spans="1:12" x14ac:dyDescent="0.35">
      <c r="A324">
        <v>323</v>
      </c>
      <c r="B324" t="s">
        <v>348</v>
      </c>
      <c r="C324">
        <v>53</v>
      </c>
      <c r="D324" t="s">
        <v>35</v>
      </c>
      <c r="E324" t="s">
        <v>20</v>
      </c>
      <c r="F324">
        <v>7727</v>
      </c>
      <c r="G324" s="1">
        <v>44268</v>
      </c>
      <c r="I324">
        <v>16</v>
      </c>
      <c r="J324" t="s">
        <v>21</v>
      </c>
      <c r="K324" t="s">
        <v>22</v>
      </c>
      <c r="L324" t="s">
        <v>25</v>
      </c>
    </row>
    <row r="325" spans="1:12" x14ac:dyDescent="0.35">
      <c r="A325">
        <v>324</v>
      </c>
      <c r="B325" t="s">
        <v>349</v>
      </c>
      <c r="C325">
        <v>46</v>
      </c>
      <c r="D325" t="s">
        <v>35</v>
      </c>
      <c r="E325" t="s">
        <v>14</v>
      </c>
      <c r="F325">
        <v>8306</v>
      </c>
      <c r="G325" s="1">
        <v>45610</v>
      </c>
      <c r="H325">
        <v>5</v>
      </c>
      <c r="I325">
        <v>15</v>
      </c>
      <c r="J325" t="s">
        <v>15</v>
      </c>
      <c r="K325" t="s">
        <v>16</v>
      </c>
      <c r="L325" t="s">
        <v>23</v>
      </c>
    </row>
    <row r="326" spans="1:12" x14ac:dyDescent="0.35">
      <c r="A326">
        <v>325</v>
      </c>
      <c r="B326" t="s">
        <v>350</v>
      </c>
      <c r="C326">
        <v>61</v>
      </c>
      <c r="D326" t="s">
        <v>35</v>
      </c>
      <c r="E326" t="s">
        <v>14</v>
      </c>
      <c r="F326">
        <v>3002</v>
      </c>
      <c r="G326" s="1">
        <v>45265</v>
      </c>
      <c r="I326">
        <v>5</v>
      </c>
      <c r="J326" t="s">
        <v>21</v>
      </c>
      <c r="K326" t="s">
        <v>30</v>
      </c>
      <c r="L326" t="s">
        <v>25</v>
      </c>
    </row>
    <row r="327" spans="1:12" x14ac:dyDescent="0.35">
      <c r="A327">
        <v>326</v>
      </c>
      <c r="B327" t="s">
        <v>351</v>
      </c>
      <c r="C327">
        <v>26</v>
      </c>
      <c r="D327" t="s">
        <v>13</v>
      </c>
      <c r="E327" t="s">
        <v>27</v>
      </c>
      <c r="F327">
        <v>2156</v>
      </c>
      <c r="G327" s="1">
        <v>44546</v>
      </c>
      <c r="I327">
        <v>16</v>
      </c>
      <c r="J327" t="s">
        <v>21</v>
      </c>
      <c r="K327" t="s">
        <v>22</v>
      </c>
      <c r="L327" t="s">
        <v>25</v>
      </c>
    </row>
    <row r="328" spans="1:12" x14ac:dyDescent="0.35">
      <c r="A328">
        <v>327</v>
      </c>
      <c r="B328" t="s">
        <v>352</v>
      </c>
      <c r="C328">
        <v>27</v>
      </c>
      <c r="D328" t="s">
        <v>13</v>
      </c>
      <c r="E328" t="s">
        <v>27</v>
      </c>
      <c r="F328">
        <v>5280</v>
      </c>
      <c r="G328" s="1">
        <v>42545</v>
      </c>
      <c r="I328">
        <v>19</v>
      </c>
      <c r="J328" t="s">
        <v>21</v>
      </c>
      <c r="K328" t="s">
        <v>16</v>
      </c>
      <c r="L328" t="s">
        <v>23</v>
      </c>
    </row>
    <row r="329" spans="1:12" x14ac:dyDescent="0.35">
      <c r="A329">
        <v>328</v>
      </c>
      <c r="B329" t="s">
        <v>353</v>
      </c>
      <c r="C329">
        <v>22</v>
      </c>
      <c r="D329" t="s">
        <v>13</v>
      </c>
      <c r="E329" t="s">
        <v>14</v>
      </c>
      <c r="F329">
        <v>7928</v>
      </c>
      <c r="G329" s="1">
        <v>44327</v>
      </c>
      <c r="H329">
        <v>3</v>
      </c>
      <c r="I329">
        <v>1</v>
      </c>
      <c r="J329" t="s">
        <v>15</v>
      </c>
      <c r="K329" t="s">
        <v>22</v>
      </c>
      <c r="L329" t="s">
        <v>17</v>
      </c>
    </row>
    <row r="330" spans="1:12" x14ac:dyDescent="0.35">
      <c r="A330">
        <v>329</v>
      </c>
      <c r="B330" t="s">
        <v>354</v>
      </c>
      <c r="C330">
        <v>41</v>
      </c>
      <c r="D330" t="s">
        <v>19</v>
      </c>
      <c r="E330" t="s">
        <v>27</v>
      </c>
      <c r="F330">
        <v>6164</v>
      </c>
      <c r="G330" s="1">
        <v>43082</v>
      </c>
      <c r="H330">
        <v>1</v>
      </c>
      <c r="I330">
        <v>11</v>
      </c>
      <c r="J330" t="s">
        <v>21</v>
      </c>
      <c r="K330" t="s">
        <v>30</v>
      </c>
      <c r="L330" t="s">
        <v>25</v>
      </c>
    </row>
    <row r="331" spans="1:12" x14ac:dyDescent="0.35">
      <c r="A331">
        <v>330</v>
      </c>
      <c r="B331" t="s">
        <v>355</v>
      </c>
      <c r="C331">
        <v>32</v>
      </c>
      <c r="D331" t="s">
        <v>35</v>
      </c>
      <c r="E331" t="s">
        <v>27</v>
      </c>
      <c r="F331">
        <v>5502</v>
      </c>
      <c r="G331" s="1">
        <v>44299</v>
      </c>
      <c r="H331">
        <v>4</v>
      </c>
      <c r="I331">
        <v>9</v>
      </c>
      <c r="J331" t="s">
        <v>15</v>
      </c>
      <c r="K331" t="s">
        <v>16</v>
      </c>
      <c r="L331" t="s">
        <v>25</v>
      </c>
    </row>
    <row r="332" spans="1:12" x14ac:dyDescent="0.35">
      <c r="A332">
        <v>331</v>
      </c>
      <c r="B332" t="s">
        <v>356</v>
      </c>
      <c r="C332">
        <v>39</v>
      </c>
      <c r="D332" t="s">
        <v>35</v>
      </c>
      <c r="E332" t="s">
        <v>14</v>
      </c>
      <c r="F332">
        <v>6830</v>
      </c>
      <c r="G332" s="1">
        <v>42183</v>
      </c>
      <c r="H332">
        <v>4</v>
      </c>
      <c r="I332">
        <v>20</v>
      </c>
      <c r="J332" t="s">
        <v>21</v>
      </c>
      <c r="K332" t="s">
        <v>16</v>
      </c>
      <c r="L332" t="s">
        <v>23</v>
      </c>
    </row>
    <row r="333" spans="1:12" x14ac:dyDescent="0.35">
      <c r="A333">
        <v>332</v>
      </c>
      <c r="B333" t="s">
        <v>357</v>
      </c>
      <c r="C333">
        <v>52</v>
      </c>
      <c r="D333" t="s">
        <v>35</v>
      </c>
      <c r="E333" t="s">
        <v>20</v>
      </c>
      <c r="F333">
        <v>5380</v>
      </c>
      <c r="G333" s="1">
        <v>43944</v>
      </c>
      <c r="H333">
        <v>0</v>
      </c>
      <c r="I333">
        <v>8</v>
      </c>
      <c r="J333" t="s">
        <v>15</v>
      </c>
      <c r="K333" t="s">
        <v>30</v>
      </c>
      <c r="L333" t="s">
        <v>23</v>
      </c>
    </row>
    <row r="334" spans="1:12" x14ac:dyDescent="0.35">
      <c r="A334">
        <v>333</v>
      </c>
      <c r="B334" t="s">
        <v>358</v>
      </c>
      <c r="C334">
        <v>38</v>
      </c>
      <c r="D334" t="s">
        <v>13</v>
      </c>
      <c r="E334" t="s">
        <v>20</v>
      </c>
      <c r="F334">
        <v>6259</v>
      </c>
      <c r="G334" s="1">
        <v>42534</v>
      </c>
      <c r="H334">
        <v>4</v>
      </c>
      <c r="I334">
        <v>5</v>
      </c>
      <c r="J334" t="s">
        <v>15</v>
      </c>
      <c r="K334" t="s">
        <v>16</v>
      </c>
      <c r="L334" t="s">
        <v>17</v>
      </c>
    </row>
    <row r="335" spans="1:12" x14ac:dyDescent="0.35">
      <c r="A335">
        <v>334</v>
      </c>
      <c r="B335" t="s">
        <v>359</v>
      </c>
      <c r="C335">
        <v>25</v>
      </c>
      <c r="D335" t="s">
        <v>13</v>
      </c>
      <c r="E335" t="s">
        <v>27</v>
      </c>
      <c r="F335">
        <v>8301</v>
      </c>
      <c r="G335" s="1">
        <v>43937</v>
      </c>
      <c r="H335">
        <v>0</v>
      </c>
      <c r="I335">
        <v>14</v>
      </c>
      <c r="J335" t="s">
        <v>15</v>
      </c>
      <c r="K335" t="s">
        <v>22</v>
      </c>
      <c r="L335" t="s">
        <v>25</v>
      </c>
    </row>
    <row r="336" spans="1:12" x14ac:dyDescent="0.35">
      <c r="A336">
        <v>335</v>
      </c>
      <c r="B336" t="s">
        <v>360</v>
      </c>
      <c r="C336">
        <v>56</v>
      </c>
      <c r="D336" t="s">
        <v>35</v>
      </c>
      <c r="E336" t="s">
        <v>14</v>
      </c>
      <c r="F336">
        <v>6496</v>
      </c>
      <c r="G336" s="1">
        <v>43393</v>
      </c>
      <c r="H336">
        <v>2</v>
      </c>
      <c r="I336">
        <v>11</v>
      </c>
      <c r="J336" t="s">
        <v>15</v>
      </c>
      <c r="K336" t="s">
        <v>22</v>
      </c>
      <c r="L336" t="s">
        <v>17</v>
      </c>
    </row>
    <row r="337" spans="1:12" x14ac:dyDescent="0.35">
      <c r="A337">
        <v>336</v>
      </c>
      <c r="B337" t="s">
        <v>361</v>
      </c>
      <c r="C337">
        <v>35</v>
      </c>
      <c r="D337" t="s">
        <v>35</v>
      </c>
      <c r="E337" t="s">
        <v>14</v>
      </c>
      <c r="F337">
        <v>3656</v>
      </c>
      <c r="G337" s="1">
        <v>42653</v>
      </c>
      <c r="H337">
        <v>2</v>
      </c>
      <c r="I337">
        <v>16</v>
      </c>
      <c r="J337" t="s">
        <v>21</v>
      </c>
      <c r="K337" t="s">
        <v>16</v>
      </c>
      <c r="L337" t="s">
        <v>17</v>
      </c>
    </row>
    <row r="338" spans="1:12" x14ac:dyDescent="0.35">
      <c r="A338">
        <v>337</v>
      </c>
      <c r="B338" t="s">
        <v>362</v>
      </c>
      <c r="C338">
        <v>58</v>
      </c>
      <c r="D338" t="s">
        <v>19</v>
      </c>
      <c r="E338" t="s">
        <v>27</v>
      </c>
      <c r="F338">
        <v>4908</v>
      </c>
      <c r="G338" s="1">
        <v>42272</v>
      </c>
      <c r="I338">
        <v>18</v>
      </c>
      <c r="J338" t="s">
        <v>21</v>
      </c>
      <c r="K338" t="s">
        <v>16</v>
      </c>
      <c r="L338" t="s">
        <v>17</v>
      </c>
    </row>
    <row r="339" spans="1:12" x14ac:dyDescent="0.35">
      <c r="A339">
        <v>338</v>
      </c>
      <c r="B339" t="s">
        <v>363</v>
      </c>
      <c r="C339">
        <v>60</v>
      </c>
      <c r="D339" t="s">
        <v>19</v>
      </c>
      <c r="E339" t="s">
        <v>14</v>
      </c>
      <c r="F339">
        <v>9385</v>
      </c>
      <c r="G339" s="1">
        <v>45564</v>
      </c>
      <c r="H339">
        <v>2</v>
      </c>
      <c r="I339">
        <v>15</v>
      </c>
      <c r="J339" t="s">
        <v>21</v>
      </c>
      <c r="K339" t="s">
        <v>30</v>
      </c>
      <c r="L339" t="s">
        <v>17</v>
      </c>
    </row>
    <row r="340" spans="1:12" x14ac:dyDescent="0.35">
      <c r="A340">
        <v>339</v>
      </c>
      <c r="B340" t="s">
        <v>364</v>
      </c>
      <c r="C340">
        <v>32</v>
      </c>
      <c r="D340" t="s">
        <v>13</v>
      </c>
      <c r="E340" t="s">
        <v>27</v>
      </c>
      <c r="F340">
        <v>4750</v>
      </c>
      <c r="G340" s="1">
        <v>42850</v>
      </c>
      <c r="H340">
        <v>0</v>
      </c>
      <c r="I340">
        <v>8</v>
      </c>
      <c r="J340" t="s">
        <v>15</v>
      </c>
      <c r="K340" t="s">
        <v>22</v>
      </c>
      <c r="L340" t="s">
        <v>17</v>
      </c>
    </row>
    <row r="341" spans="1:12" x14ac:dyDescent="0.35">
      <c r="A341">
        <v>340</v>
      </c>
      <c r="B341" t="s">
        <v>365</v>
      </c>
      <c r="C341">
        <v>47</v>
      </c>
      <c r="D341" t="s">
        <v>19</v>
      </c>
      <c r="E341" t="s">
        <v>27</v>
      </c>
      <c r="F341">
        <v>4528</v>
      </c>
      <c r="G341" s="1">
        <v>45448</v>
      </c>
      <c r="H341">
        <v>5</v>
      </c>
      <c r="I341">
        <v>7</v>
      </c>
      <c r="J341" t="s">
        <v>15</v>
      </c>
      <c r="K341" t="s">
        <v>30</v>
      </c>
      <c r="L341" t="s">
        <v>25</v>
      </c>
    </row>
    <row r="342" spans="1:12" x14ac:dyDescent="0.35">
      <c r="A342">
        <v>341</v>
      </c>
      <c r="B342" t="s">
        <v>366</v>
      </c>
      <c r="C342">
        <v>25</v>
      </c>
      <c r="D342" t="s">
        <v>19</v>
      </c>
      <c r="E342" t="s">
        <v>27</v>
      </c>
      <c r="F342">
        <v>8628</v>
      </c>
      <c r="G342" s="1">
        <v>43174</v>
      </c>
      <c r="I342">
        <v>12</v>
      </c>
      <c r="J342" t="s">
        <v>15</v>
      </c>
      <c r="K342" t="s">
        <v>16</v>
      </c>
      <c r="L342" t="s">
        <v>17</v>
      </c>
    </row>
    <row r="343" spans="1:12" x14ac:dyDescent="0.35">
      <c r="A343">
        <v>342</v>
      </c>
      <c r="B343" t="s">
        <v>367</v>
      </c>
      <c r="C343">
        <v>38</v>
      </c>
      <c r="D343" t="s">
        <v>35</v>
      </c>
      <c r="E343" t="s">
        <v>14</v>
      </c>
      <c r="F343">
        <v>8438</v>
      </c>
      <c r="G343" s="1">
        <v>45185</v>
      </c>
      <c r="H343">
        <v>3</v>
      </c>
      <c r="I343">
        <v>7</v>
      </c>
      <c r="J343" t="s">
        <v>21</v>
      </c>
      <c r="K343" t="s">
        <v>30</v>
      </c>
      <c r="L343" t="s">
        <v>25</v>
      </c>
    </row>
    <row r="344" spans="1:12" x14ac:dyDescent="0.35">
      <c r="A344">
        <v>343</v>
      </c>
      <c r="B344" t="s">
        <v>368</v>
      </c>
      <c r="C344">
        <v>45</v>
      </c>
      <c r="D344" t="s">
        <v>19</v>
      </c>
      <c r="E344" t="s">
        <v>14</v>
      </c>
      <c r="F344">
        <v>3491</v>
      </c>
      <c r="G344" s="1">
        <v>43619</v>
      </c>
      <c r="I344">
        <v>15</v>
      </c>
      <c r="J344" t="s">
        <v>21</v>
      </c>
      <c r="K344" t="s">
        <v>16</v>
      </c>
      <c r="L344" t="s">
        <v>17</v>
      </c>
    </row>
    <row r="345" spans="1:12" x14ac:dyDescent="0.35">
      <c r="A345">
        <v>344</v>
      </c>
      <c r="B345" t="s">
        <v>369</v>
      </c>
      <c r="C345">
        <v>52</v>
      </c>
      <c r="D345" t="s">
        <v>35</v>
      </c>
      <c r="E345" t="s">
        <v>27</v>
      </c>
      <c r="F345">
        <v>8000</v>
      </c>
      <c r="G345" s="1">
        <v>44990</v>
      </c>
      <c r="I345">
        <v>7</v>
      </c>
      <c r="J345" t="s">
        <v>21</v>
      </c>
      <c r="K345" t="s">
        <v>16</v>
      </c>
      <c r="L345" t="s">
        <v>23</v>
      </c>
    </row>
    <row r="346" spans="1:12" x14ac:dyDescent="0.35">
      <c r="A346">
        <v>345</v>
      </c>
      <c r="B346" t="s">
        <v>370</v>
      </c>
      <c r="C346">
        <v>25</v>
      </c>
      <c r="D346" t="s">
        <v>19</v>
      </c>
      <c r="E346" t="s">
        <v>27</v>
      </c>
      <c r="F346">
        <v>3256</v>
      </c>
      <c r="G346" s="1">
        <v>45255</v>
      </c>
      <c r="I346">
        <v>19</v>
      </c>
      <c r="J346" t="s">
        <v>21</v>
      </c>
      <c r="K346" t="s">
        <v>30</v>
      </c>
      <c r="L346" t="s">
        <v>25</v>
      </c>
    </row>
    <row r="347" spans="1:12" x14ac:dyDescent="0.35">
      <c r="A347">
        <v>346</v>
      </c>
      <c r="B347" t="s">
        <v>371</v>
      </c>
      <c r="C347">
        <v>56</v>
      </c>
      <c r="D347" t="s">
        <v>13</v>
      </c>
      <c r="E347" t="s">
        <v>14</v>
      </c>
      <c r="F347">
        <v>2254</v>
      </c>
      <c r="G347" s="1">
        <v>43039</v>
      </c>
      <c r="H347">
        <v>5</v>
      </c>
      <c r="I347">
        <v>8</v>
      </c>
      <c r="J347" t="s">
        <v>21</v>
      </c>
      <c r="K347" t="s">
        <v>30</v>
      </c>
      <c r="L347" t="s">
        <v>25</v>
      </c>
    </row>
    <row r="348" spans="1:12" x14ac:dyDescent="0.35">
      <c r="A348">
        <v>347</v>
      </c>
      <c r="B348" t="s">
        <v>372</v>
      </c>
      <c r="C348">
        <v>62</v>
      </c>
      <c r="D348" t="s">
        <v>13</v>
      </c>
      <c r="E348" t="s">
        <v>14</v>
      </c>
      <c r="F348">
        <v>7803</v>
      </c>
      <c r="G348" s="1">
        <v>43819</v>
      </c>
      <c r="H348">
        <v>0</v>
      </c>
      <c r="I348">
        <v>8</v>
      </c>
      <c r="J348" t="s">
        <v>15</v>
      </c>
      <c r="K348" t="s">
        <v>22</v>
      </c>
      <c r="L348" t="s">
        <v>17</v>
      </c>
    </row>
    <row r="349" spans="1:12" x14ac:dyDescent="0.35">
      <c r="A349">
        <v>348</v>
      </c>
      <c r="B349" t="s">
        <v>373</v>
      </c>
      <c r="C349">
        <v>59</v>
      </c>
      <c r="D349" t="s">
        <v>19</v>
      </c>
      <c r="E349" t="s">
        <v>27</v>
      </c>
      <c r="F349">
        <v>2593</v>
      </c>
      <c r="G349" s="1">
        <v>42580</v>
      </c>
      <c r="H349">
        <v>2</v>
      </c>
      <c r="I349">
        <v>14</v>
      </c>
      <c r="J349" t="s">
        <v>21</v>
      </c>
      <c r="K349" t="s">
        <v>22</v>
      </c>
      <c r="L349" t="s">
        <v>23</v>
      </c>
    </row>
    <row r="350" spans="1:12" x14ac:dyDescent="0.35">
      <c r="A350">
        <v>349</v>
      </c>
      <c r="B350" t="s">
        <v>374</v>
      </c>
      <c r="C350">
        <v>42</v>
      </c>
      <c r="D350" t="s">
        <v>13</v>
      </c>
      <c r="E350" t="s">
        <v>27</v>
      </c>
      <c r="F350">
        <v>2614</v>
      </c>
      <c r="G350" s="1">
        <v>42290</v>
      </c>
      <c r="I350">
        <v>18</v>
      </c>
      <c r="J350" t="s">
        <v>21</v>
      </c>
      <c r="K350" t="s">
        <v>30</v>
      </c>
      <c r="L350" t="s">
        <v>23</v>
      </c>
    </row>
    <row r="351" spans="1:12" x14ac:dyDescent="0.35">
      <c r="A351">
        <v>350</v>
      </c>
      <c r="B351" t="s">
        <v>375</v>
      </c>
      <c r="C351">
        <v>44</v>
      </c>
      <c r="D351" t="s">
        <v>35</v>
      </c>
      <c r="E351" t="s">
        <v>27</v>
      </c>
      <c r="F351">
        <v>7895</v>
      </c>
      <c r="G351" s="1">
        <v>43633</v>
      </c>
      <c r="H351">
        <v>5</v>
      </c>
      <c r="I351">
        <v>13</v>
      </c>
      <c r="J351" t="s">
        <v>15</v>
      </c>
      <c r="K351" t="s">
        <v>30</v>
      </c>
      <c r="L351" t="s">
        <v>23</v>
      </c>
    </row>
    <row r="352" spans="1:12" x14ac:dyDescent="0.35">
      <c r="A352">
        <v>351</v>
      </c>
      <c r="B352" t="s">
        <v>376</v>
      </c>
      <c r="C352">
        <v>46</v>
      </c>
      <c r="D352" t="s">
        <v>19</v>
      </c>
      <c r="E352" t="s">
        <v>14</v>
      </c>
      <c r="F352">
        <v>8006</v>
      </c>
      <c r="G352" s="1">
        <v>45130</v>
      </c>
      <c r="H352">
        <v>1</v>
      </c>
      <c r="I352">
        <v>6</v>
      </c>
      <c r="J352" t="s">
        <v>21</v>
      </c>
      <c r="K352" t="s">
        <v>22</v>
      </c>
      <c r="L352" t="s">
        <v>25</v>
      </c>
    </row>
    <row r="353" spans="1:12" x14ac:dyDescent="0.35">
      <c r="A353">
        <v>352</v>
      </c>
      <c r="B353" t="s">
        <v>377</v>
      </c>
      <c r="C353">
        <v>19</v>
      </c>
      <c r="D353" t="s">
        <v>13</v>
      </c>
      <c r="E353" t="s">
        <v>27</v>
      </c>
      <c r="F353">
        <v>7335</v>
      </c>
      <c r="G353" s="1">
        <v>43474</v>
      </c>
      <c r="H353">
        <v>5</v>
      </c>
      <c r="I353">
        <v>3</v>
      </c>
      <c r="J353" t="s">
        <v>21</v>
      </c>
      <c r="K353" t="s">
        <v>22</v>
      </c>
      <c r="L353" t="s">
        <v>25</v>
      </c>
    </row>
    <row r="354" spans="1:12" x14ac:dyDescent="0.35">
      <c r="A354">
        <v>353</v>
      </c>
      <c r="B354" t="s">
        <v>378</v>
      </c>
      <c r="C354">
        <v>39</v>
      </c>
      <c r="D354" t="s">
        <v>13</v>
      </c>
      <c r="E354" t="s">
        <v>20</v>
      </c>
      <c r="F354">
        <v>3353</v>
      </c>
      <c r="G354" s="1">
        <v>43051</v>
      </c>
      <c r="H354">
        <v>0</v>
      </c>
      <c r="I354">
        <v>15</v>
      </c>
      <c r="J354" t="s">
        <v>15</v>
      </c>
      <c r="K354" t="s">
        <v>22</v>
      </c>
      <c r="L354" t="s">
        <v>17</v>
      </c>
    </row>
    <row r="355" spans="1:12" x14ac:dyDescent="0.35">
      <c r="A355">
        <v>354</v>
      </c>
      <c r="B355" t="s">
        <v>379</v>
      </c>
      <c r="C355">
        <v>30</v>
      </c>
      <c r="D355" t="s">
        <v>35</v>
      </c>
      <c r="E355" t="s">
        <v>20</v>
      </c>
      <c r="F355">
        <v>7252</v>
      </c>
      <c r="G355" s="1">
        <v>44527</v>
      </c>
      <c r="H355">
        <v>4</v>
      </c>
      <c r="I355">
        <v>14</v>
      </c>
      <c r="J355" t="s">
        <v>15</v>
      </c>
      <c r="K355" t="s">
        <v>16</v>
      </c>
      <c r="L355" t="s">
        <v>25</v>
      </c>
    </row>
    <row r="356" spans="1:12" x14ac:dyDescent="0.35">
      <c r="A356">
        <v>355</v>
      </c>
      <c r="B356" t="s">
        <v>380</v>
      </c>
      <c r="C356">
        <v>45</v>
      </c>
      <c r="D356" t="s">
        <v>13</v>
      </c>
      <c r="E356" t="s">
        <v>14</v>
      </c>
      <c r="F356">
        <v>4213</v>
      </c>
      <c r="G356" s="1">
        <v>42686</v>
      </c>
      <c r="H356">
        <v>3</v>
      </c>
      <c r="I356">
        <v>12</v>
      </c>
      <c r="J356" t="s">
        <v>21</v>
      </c>
      <c r="K356" t="s">
        <v>22</v>
      </c>
      <c r="L356" t="s">
        <v>17</v>
      </c>
    </row>
    <row r="357" spans="1:12" x14ac:dyDescent="0.35">
      <c r="A357">
        <v>356</v>
      </c>
      <c r="B357" t="s">
        <v>381</v>
      </c>
      <c r="C357">
        <v>41</v>
      </c>
      <c r="D357" t="s">
        <v>35</v>
      </c>
      <c r="E357" t="s">
        <v>27</v>
      </c>
      <c r="F357">
        <v>2392</v>
      </c>
      <c r="G357" s="1">
        <v>45366</v>
      </c>
      <c r="H357">
        <v>1</v>
      </c>
      <c r="I357">
        <v>20</v>
      </c>
      <c r="J357" t="s">
        <v>21</v>
      </c>
      <c r="K357" t="s">
        <v>30</v>
      </c>
      <c r="L357" t="s">
        <v>25</v>
      </c>
    </row>
    <row r="358" spans="1:12" x14ac:dyDescent="0.35">
      <c r="A358">
        <v>357</v>
      </c>
      <c r="B358" t="s">
        <v>382</v>
      </c>
      <c r="C358">
        <v>55</v>
      </c>
      <c r="D358" t="s">
        <v>19</v>
      </c>
      <c r="E358" t="s">
        <v>20</v>
      </c>
      <c r="F358">
        <v>8344</v>
      </c>
      <c r="G358" s="1">
        <v>42287</v>
      </c>
      <c r="H358">
        <v>2</v>
      </c>
      <c r="I358">
        <v>19</v>
      </c>
      <c r="J358" t="s">
        <v>15</v>
      </c>
      <c r="K358" t="s">
        <v>22</v>
      </c>
      <c r="L358" t="s">
        <v>23</v>
      </c>
    </row>
    <row r="359" spans="1:12" x14ac:dyDescent="0.35">
      <c r="A359">
        <v>358</v>
      </c>
      <c r="B359" t="s">
        <v>383</v>
      </c>
      <c r="C359">
        <v>61</v>
      </c>
      <c r="D359" t="s">
        <v>35</v>
      </c>
      <c r="E359" t="s">
        <v>20</v>
      </c>
      <c r="F359">
        <v>2928</v>
      </c>
      <c r="G359" s="1">
        <v>43316</v>
      </c>
      <c r="H359">
        <v>0</v>
      </c>
      <c r="I359">
        <v>15</v>
      </c>
      <c r="J359" t="s">
        <v>15</v>
      </c>
      <c r="K359" t="s">
        <v>22</v>
      </c>
      <c r="L359" t="s">
        <v>23</v>
      </c>
    </row>
    <row r="360" spans="1:12" x14ac:dyDescent="0.35">
      <c r="A360">
        <v>359</v>
      </c>
      <c r="B360" t="s">
        <v>384</v>
      </c>
      <c r="C360">
        <v>31</v>
      </c>
      <c r="D360" t="s">
        <v>13</v>
      </c>
      <c r="E360" t="s">
        <v>27</v>
      </c>
      <c r="F360">
        <v>3830</v>
      </c>
      <c r="G360" s="1">
        <v>43825</v>
      </c>
      <c r="I360">
        <v>5</v>
      </c>
      <c r="J360" t="s">
        <v>21</v>
      </c>
      <c r="K360" t="s">
        <v>22</v>
      </c>
      <c r="L360" t="s">
        <v>25</v>
      </c>
    </row>
    <row r="361" spans="1:12" x14ac:dyDescent="0.35">
      <c r="A361">
        <v>360</v>
      </c>
      <c r="B361" t="s">
        <v>385</v>
      </c>
      <c r="C361">
        <v>63</v>
      </c>
      <c r="D361" t="s">
        <v>13</v>
      </c>
      <c r="E361" t="s">
        <v>14</v>
      </c>
      <c r="F361">
        <v>6886</v>
      </c>
      <c r="G361" s="1">
        <v>43464</v>
      </c>
      <c r="H361">
        <v>2</v>
      </c>
      <c r="I361">
        <v>18</v>
      </c>
      <c r="J361" t="s">
        <v>21</v>
      </c>
      <c r="K361" t="s">
        <v>22</v>
      </c>
      <c r="L361" t="s">
        <v>25</v>
      </c>
    </row>
    <row r="362" spans="1:12" x14ac:dyDescent="0.35">
      <c r="A362">
        <v>361</v>
      </c>
      <c r="B362" t="s">
        <v>386</v>
      </c>
      <c r="C362">
        <v>20</v>
      </c>
      <c r="D362" t="s">
        <v>19</v>
      </c>
      <c r="E362" t="s">
        <v>27</v>
      </c>
      <c r="F362">
        <v>4275</v>
      </c>
      <c r="G362" s="1">
        <v>44799</v>
      </c>
      <c r="I362">
        <v>8</v>
      </c>
      <c r="J362" t="s">
        <v>15</v>
      </c>
      <c r="K362" t="s">
        <v>16</v>
      </c>
      <c r="L362" t="s">
        <v>23</v>
      </c>
    </row>
    <row r="363" spans="1:12" x14ac:dyDescent="0.35">
      <c r="A363">
        <v>362</v>
      </c>
      <c r="B363" t="s">
        <v>387</v>
      </c>
      <c r="C363">
        <v>51</v>
      </c>
      <c r="D363" t="s">
        <v>35</v>
      </c>
      <c r="E363" t="s">
        <v>20</v>
      </c>
      <c r="F363">
        <v>4503</v>
      </c>
      <c r="G363" s="1">
        <v>43905</v>
      </c>
      <c r="H363">
        <v>0</v>
      </c>
      <c r="I363">
        <v>5</v>
      </c>
      <c r="J363" t="s">
        <v>15</v>
      </c>
      <c r="K363" t="s">
        <v>30</v>
      </c>
      <c r="L363" t="s">
        <v>17</v>
      </c>
    </row>
    <row r="364" spans="1:12" x14ac:dyDescent="0.35">
      <c r="A364">
        <v>363</v>
      </c>
      <c r="B364" t="s">
        <v>388</v>
      </c>
      <c r="C364">
        <v>29</v>
      </c>
      <c r="D364" t="s">
        <v>13</v>
      </c>
      <c r="E364" t="s">
        <v>27</v>
      </c>
      <c r="F364">
        <v>7903</v>
      </c>
      <c r="G364" s="1">
        <v>43122</v>
      </c>
      <c r="H364">
        <v>0</v>
      </c>
      <c r="I364">
        <v>1</v>
      </c>
      <c r="J364" t="s">
        <v>15</v>
      </c>
      <c r="K364" t="s">
        <v>16</v>
      </c>
      <c r="L364" t="s">
        <v>17</v>
      </c>
    </row>
    <row r="365" spans="1:12" x14ac:dyDescent="0.35">
      <c r="A365">
        <v>364</v>
      </c>
      <c r="B365" t="s">
        <v>389</v>
      </c>
      <c r="C365">
        <v>49</v>
      </c>
      <c r="D365" t="s">
        <v>19</v>
      </c>
      <c r="E365" t="s">
        <v>14</v>
      </c>
      <c r="F365">
        <v>6590</v>
      </c>
      <c r="G365" s="1">
        <v>44994</v>
      </c>
      <c r="I365">
        <v>15</v>
      </c>
      <c r="J365" t="s">
        <v>15</v>
      </c>
      <c r="K365" t="s">
        <v>22</v>
      </c>
      <c r="L365" t="s">
        <v>17</v>
      </c>
    </row>
    <row r="366" spans="1:12" x14ac:dyDescent="0.35">
      <c r="A366">
        <v>365</v>
      </c>
      <c r="B366" t="s">
        <v>390</v>
      </c>
      <c r="C366">
        <v>41</v>
      </c>
      <c r="D366" t="s">
        <v>13</v>
      </c>
      <c r="E366" t="s">
        <v>20</v>
      </c>
      <c r="F366">
        <v>5988</v>
      </c>
      <c r="G366" s="1">
        <v>42403</v>
      </c>
      <c r="H366">
        <v>5</v>
      </c>
      <c r="I366">
        <v>2</v>
      </c>
      <c r="J366" t="s">
        <v>21</v>
      </c>
      <c r="K366" t="s">
        <v>30</v>
      </c>
      <c r="L366" t="s">
        <v>25</v>
      </c>
    </row>
    <row r="367" spans="1:12" x14ac:dyDescent="0.35">
      <c r="A367">
        <v>366</v>
      </c>
      <c r="B367" t="s">
        <v>391</v>
      </c>
      <c r="C367">
        <v>52</v>
      </c>
      <c r="D367" t="s">
        <v>19</v>
      </c>
      <c r="E367" t="s">
        <v>20</v>
      </c>
      <c r="F367">
        <v>3504</v>
      </c>
      <c r="G367" s="1">
        <v>44604</v>
      </c>
      <c r="H367">
        <v>4</v>
      </c>
      <c r="I367">
        <v>9</v>
      </c>
      <c r="J367" t="s">
        <v>21</v>
      </c>
      <c r="K367" t="s">
        <v>22</v>
      </c>
      <c r="L367" t="s">
        <v>25</v>
      </c>
    </row>
    <row r="368" spans="1:12" x14ac:dyDescent="0.35">
      <c r="A368">
        <v>367</v>
      </c>
      <c r="B368" t="s">
        <v>392</v>
      </c>
      <c r="C368">
        <v>50</v>
      </c>
      <c r="D368" t="s">
        <v>13</v>
      </c>
      <c r="E368" t="s">
        <v>20</v>
      </c>
      <c r="F368">
        <v>7153</v>
      </c>
      <c r="G368" s="1">
        <v>45511</v>
      </c>
      <c r="I368">
        <v>1</v>
      </c>
      <c r="J368" t="s">
        <v>21</v>
      </c>
      <c r="K368" t="s">
        <v>16</v>
      </c>
      <c r="L368" t="s">
        <v>17</v>
      </c>
    </row>
    <row r="369" spans="1:12" x14ac:dyDescent="0.35">
      <c r="A369">
        <v>368</v>
      </c>
      <c r="B369" t="s">
        <v>393</v>
      </c>
      <c r="C369">
        <v>20</v>
      </c>
      <c r="D369" t="s">
        <v>19</v>
      </c>
      <c r="E369" t="s">
        <v>14</v>
      </c>
      <c r="F369">
        <v>7485</v>
      </c>
      <c r="G369" s="1">
        <v>42263</v>
      </c>
      <c r="H369">
        <v>1</v>
      </c>
      <c r="I369">
        <v>2</v>
      </c>
      <c r="J369" t="s">
        <v>15</v>
      </c>
      <c r="K369" t="s">
        <v>30</v>
      </c>
      <c r="L369" t="s">
        <v>25</v>
      </c>
    </row>
    <row r="370" spans="1:12" x14ac:dyDescent="0.35">
      <c r="A370">
        <v>369</v>
      </c>
      <c r="B370" t="s">
        <v>394</v>
      </c>
      <c r="C370">
        <v>23</v>
      </c>
      <c r="D370" t="s">
        <v>35</v>
      </c>
      <c r="E370" t="s">
        <v>14</v>
      </c>
      <c r="F370">
        <v>7559</v>
      </c>
      <c r="G370" s="1">
        <v>44660</v>
      </c>
      <c r="H370">
        <v>0</v>
      </c>
      <c r="I370">
        <v>20</v>
      </c>
      <c r="J370" t="s">
        <v>15</v>
      </c>
      <c r="K370" t="s">
        <v>16</v>
      </c>
      <c r="L370" t="s">
        <v>17</v>
      </c>
    </row>
    <row r="371" spans="1:12" x14ac:dyDescent="0.35">
      <c r="A371">
        <v>370</v>
      </c>
      <c r="B371" t="s">
        <v>395</v>
      </c>
      <c r="C371">
        <v>49</v>
      </c>
      <c r="D371" t="s">
        <v>19</v>
      </c>
      <c r="E371" t="s">
        <v>14</v>
      </c>
      <c r="F371">
        <v>5850</v>
      </c>
      <c r="G371" s="1">
        <v>44115</v>
      </c>
      <c r="I371">
        <v>17</v>
      </c>
      <c r="J371" t="s">
        <v>21</v>
      </c>
      <c r="K371" t="s">
        <v>16</v>
      </c>
      <c r="L371" t="s">
        <v>25</v>
      </c>
    </row>
    <row r="372" spans="1:12" x14ac:dyDescent="0.35">
      <c r="A372">
        <v>371</v>
      </c>
      <c r="B372" t="s">
        <v>396</v>
      </c>
      <c r="C372">
        <v>28</v>
      </c>
      <c r="D372" t="s">
        <v>35</v>
      </c>
      <c r="E372" t="s">
        <v>14</v>
      </c>
      <c r="F372">
        <v>4984</v>
      </c>
      <c r="G372" s="1">
        <v>45281</v>
      </c>
      <c r="I372">
        <v>12</v>
      </c>
      <c r="J372" t="s">
        <v>21</v>
      </c>
      <c r="K372" t="s">
        <v>30</v>
      </c>
      <c r="L372" t="s">
        <v>23</v>
      </c>
    </row>
    <row r="373" spans="1:12" x14ac:dyDescent="0.35">
      <c r="A373">
        <v>372</v>
      </c>
      <c r="B373" t="s">
        <v>397</v>
      </c>
      <c r="C373">
        <v>21</v>
      </c>
      <c r="D373" t="s">
        <v>13</v>
      </c>
      <c r="E373" t="s">
        <v>27</v>
      </c>
      <c r="F373">
        <v>9474</v>
      </c>
      <c r="G373" s="1">
        <v>42514</v>
      </c>
      <c r="H373">
        <v>4</v>
      </c>
      <c r="I373">
        <v>4</v>
      </c>
      <c r="J373" t="s">
        <v>21</v>
      </c>
      <c r="K373" t="s">
        <v>30</v>
      </c>
      <c r="L373" t="s">
        <v>23</v>
      </c>
    </row>
    <row r="374" spans="1:12" x14ac:dyDescent="0.35">
      <c r="A374">
        <v>373</v>
      </c>
      <c r="B374" t="s">
        <v>398</v>
      </c>
      <c r="C374">
        <v>61</v>
      </c>
      <c r="D374" t="s">
        <v>19</v>
      </c>
      <c r="E374" t="s">
        <v>14</v>
      </c>
      <c r="F374">
        <v>6231</v>
      </c>
      <c r="G374" s="1">
        <v>42095</v>
      </c>
      <c r="I374">
        <v>15</v>
      </c>
      <c r="J374" t="s">
        <v>15</v>
      </c>
      <c r="K374" t="s">
        <v>30</v>
      </c>
      <c r="L374" t="s">
        <v>25</v>
      </c>
    </row>
    <row r="375" spans="1:12" x14ac:dyDescent="0.35">
      <c r="A375">
        <v>374</v>
      </c>
      <c r="B375" t="s">
        <v>399</v>
      </c>
      <c r="C375">
        <v>22</v>
      </c>
      <c r="D375" t="s">
        <v>35</v>
      </c>
      <c r="E375" t="s">
        <v>14</v>
      </c>
      <c r="F375">
        <v>8147</v>
      </c>
      <c r="G375" s="1">
        <v>43632</v>
      </c>
      <c r="H375">
        <v>0</v>
      </c>
      <c r="I375">
        <v>17</v>
      </c>
      <c r="J375" t="s">
        <v>15</v>
      </c>
      <c r="K375" t="s">
        <v>22</v>
      </c>
      <c r="L375" t="s">
        <v>23</v>
      </c>
    </row>
    <row r="376" spans="1:12" x14ac:dyDescent="0.35">
      <c r="A376">
        <v>375</v>
      </c>
      <c r="B376" t="s">
        <v>400</v>
      </c>
      <c r="C376">
        <v>42</v>
      </c>
      <c r="D376" t="s">
        <v>35</v>
      </c>
      <c r="E376" t="s">
        <v>27</v>
      </c>
      <c r="F376">
        <v>9067</v>
      </c>
      <c r="G376" s="1">
        <v>42809</v>
      </c>
      <c r="H376">
        <v>5</v>
      </c>
      <c r="I376">
        <v>5</v>
      </c>
      <c r="J376" t="s">
        <v>15</v>
      </c>
      <c r="K376" t="s">
        <v>16</v>
      </c>
      <c r="L376" t="s">
        <v>25</v>
      </c>
    </row>
    <row r="377" spans="1:12" x14ac:dyDescent="0.35">
      <c r="A377">
        <v>376</v>
      </c>
      <c r="B377" t="s">
        <v>401</v>
      </c>
      <c r="C377">
        <v>58</v>
      </c>
      <c r="D377" t="s">
        <v>19</v>
      </c>
      <c r="E377" t="s">
        <v>14</v>
      </c>
      <c r="F377">
        <v>2489</v>
      </c>
      <c r="G377" s="1">
        <v>43179</v>
      </c>
      <c r="H377">
        <v>2</v>
      </c>
      <c r="I377">
        <v>1</v>
      </c>
      <c r="J377" t="s">
        <v>21</v>
      </c>
      <c r="K377" t="s">
        <v>30</v>
      </c>
      <c r="L377" t="s">
        <v>23</v>
      </c>
    </row>
    <row r="378" spans="1:12" x14ac:dyDescent="0.35">
      <c r="A378">
        <v>377</v>
      </c>
      <c r="B378" t="s">
        <v>402</v>
      </c>
      <c r="C378">
        <v>64</v>
      </c>
      <c r="D378" t="s">
        <v>13</v>
      </c>
      <c r="E378" t="s">
        <v>20</v>
      </c>
      <c r="F378">
        <v>5606</v>
      </c>
      <c r="G378" s="1">
        <v>42221</v>
      </c>
      <c r="H378">
        <v>5</v>
      </c>
      <c r="I378">
        <v>19</v>
      </c>
      <c r="J378" t="s">
        <v>15</v>
      </c>
      <c r="K378" t="s">
        <v>16</v>
      </c>
      <c r="L378" t="s">
        <v>23</v>
      </c>
    </row>
    <row r="379" spans="1:12" x14ac:dyDescent="0.35">
      <c r="A379">
        <v>378</v>
      </c>
      <c r="B379" t="s">
        <v>403</v>
      </c>
      <c r="C379">
        <v>63</v>
      </c>
      <c r="D379" t="s">
        <v>35</v>
      </c>
      <c r="E379" t="s">
        <v>20</v>
      </c>
      <c r="F379">
        <v>6013</v>
      </c>
      <c r="G379" s="1">
        <v>45197</v>
      </c>
      <c r="H379">
        <v>0</v>
      </c>
      <c r="I379">
        <v>10</v>
      </c>
      <c r="J379" t="s">
        <v>15</v>
      </c>
      <c r="K379" t="s">
        <v>30</v>
      </c>
      <c r="L379" t="s">
        <v>17</v>
      </c>
    </row>
    <row r="380" spans="1:12" x14ac:dyDescent="0.35">
      <c r="A380">
        <v>379</v>
      </c>
      <c r="B380" t="s">
        <v>404</v>
      </c>
      <c r="C380">
        <v>26</v>
      </c>
      <c r="D380" t="s">
        <v>13</v>
      </c>
      <c r="E380" t="s">
        <v>20</v>
      </c>
      <c r="F380">
        <v>3556</v>
      </c>
      <c r="G380" s="1">
        <v>44506</v>
      </c>
      <c r="H380">
        <v>0</v>
      </c>
      <c r="I380">
        <v>1</v>
      </c>
      <c r="J380" t="s">
        <v>15</v>
      </c>
      <c r="K380" t="s">
        <v>30</v>
      </c>
      <c r="L380" t="s">
        <v>17</v>
      </c>
    </row>
    <row r="381" spans="1:12" x14ac:dyDescent="0.35">
      <c r="A381">
        <v>380</v>
      </c>
      <c r="B381" t="s">
        <v>405</v>
      </c>
      <c r="C381">
        <v>29</v>
      </c>
      <c r="D381" t="s">
        <v>35</v>
      </c>
      <c r="E381" t="s">
        <v>20</v>
      </c>
      <c r="F381">
        <v>9726</v>
      </c>
      <c r="G381" s="1">
        <v>42107</v>
      </c>
      <c r="H381">
        <v>1</v>
      </c>
      <c r="I381">
        <v>2</v>
      </c>
      <c r="J381" t="s">
        <v>21</v>
      </c>
      <c r="K381" t="s">
        <v>30</v>
      </c>
      <c r="L381" t="s">
        <v>23</v>
      </c>
    </row>
    <row r="382" spans="1:12" x14ac:dyDescent="0.35">
      <c r="A382">
        <v>381</v>
      </c>
      <c r="B382" t="s">
        <v>406</v>
      </c>
      <c r="C382">
        <v>28</v>
      </c>
      <c r="D382" t="s">
        <v>35</v>
      </c>
      <c r="E382" t="s">
        <v>14</v>
      </c>
      <c r="F382">
        <v>6610</v>
      </c>
      <c r="G382" s="1">
        <v>43990</v>
      </c>
      <c r="I382">
        <v>12</v>
      </c>
      <c r="J382" t="s">
        <v>21</v>
      </c>
      <c r="K382" t="s">
        <v>16</v>
      </c>
      <c r="L382" t="s">
        <v>25</v>
      </c>
    </row>
    <row r="383" spans="1:12" x14ac:dyDescent="0.35">
      <c r="A383">
        <v>382</v>
      </c>
      <c r="B383" t="s">
        <v>407</v>
      </c>
      <c r="C383">
        <v>43</v>
      </c>
      <c r="D383" t="s">
        <v>19</v>
      </c>
      <c r="E383" t="s">
        <v>20</v>
      </c>
      <c r="F383">
        <v>9269</v>
      </c>
      <c r="G383" s="1">
        <v>43378</v>
      </c>
      <c r="H383">
        <v>2</v>
      </c>
      <c r="I383">
        <v>13</v>
      </c>
      <c r="J383" t="s">
        <v>21</v>
      </c>
      <c r="K383" t="s">
        <v>22</v>
      </c>
      <c r="L383" t="s">
        <v>23</v>
      </c>
    </row>
    <row r="384" spans="1:12" x14ac:dyDescent="0.35">
      <c r="A384">
        <v>383</v>
      </c>
      <c r="B384" t="s">
        <v>408</v>
      </c>
      <c r="C384">
        <v>30</v>
      </c>
      <c r="D384" t="s">
        <v>13</v>
      </c>
      <c r="E384" t="s">
        <v>27</v>
      </c>
      <c r="F384">
        <v>7241</v>
      </c>
      <c r="G384" s="1">
        <v>41991</v>
      </c>
      <c r="H384">
        <v>4</v>
      </c>
      <c r="I384">
        <v>1</v>
      </c>
      <c r="J384" t="s">
        <v>21</v>
      </c>
      <c r="K384" t="s">
        <v>16</v>
      </c>
      <c r="L384" t="s">
        <v>25</v>
      </c>
    </row>
    <row r="385" spans="1:12" x14ac:dyDescent="0.35">
      <c r="A385">
        <v>384</v>
      </c>
      <c r="B385" t="s">
        <v>409</v>
      </c>
      <c r="C385">
        <v>28</v>
      </c>
      <c r="D385" t="s">
        <v>13</v>
      </c>
      <c r="E385" t="s">
        <v>27</v>
      </c>
      <c r="F385">
        <v>7632</v>
      </c>
      <c r="G385" s="1">
        <v>43967</v>
      </c>
      <c r="H385">
        <v>5</v>
      </c>
      <c r="I385">
        <v>12</v>
      </c>
      <c r="J385" t="s">
        <v>21</v>
      </c>
      <c r="K385" t="s">
        <v>22</v>
      </c>
      <c r="L385" t="s">
        <v>23</v>
      </c>
    </row>
    <row r="386" spans="1:12" x14ac:dyDescent="0.35">
      <c r="A386">
        <v>385</v>
      </c>
      <c r="B386" t="s">
        <v>410</v>
      </c>
      <c r="C386">
        <v>33</v>
      </c>
      <c r="D386" t="s">
        <v>13</v>
      </c>
      <c r="E386" t="s">
        <v>20</v>
      </c>
      <c r="F386">
        <v>7941</v>
      </c>
      <c r="G386" s="1">
        <v>42971</v>
      </c>
      <c r="H386">
        <v>0</v>
      </c>
      <c r="I386">
        <v>14</v>
      </c>
      <c r="J386" t="s">
        <v>15</v>
      </c>
      <c r="K386" t="s">
        <v>22</v>
      </c>
      <c r="L386" t="s">
        <v>17</v>
      </c>
    </row>
    <row r="387" spans="1:12" x14ac:dyDescent="0.35">
      <c r="A387">
        <v>386</v>
      </c>
      <c r="B387" t="s">
        <v>411</v>
      </c>
      <c r="C387">
        <v>61</v>
      </c>
      <c r="D387" t="s">
        <v>19</v>
      </c>
      <c r="E387" t="s">
        <v>14</v>
      </c>
      <c r="F387">
        <v>8450</v>
      </c>
      <c r="G387" s="1">
        <v>45247</v>
      </c>
      <c r="I387">
        <v>2</v>
      </c>
      <c r="J387" t="s">
        <v>21</v>
      </c>
      <c r="K387" t="s">
        <v>16</v>
      </c>
      <c r="L387" t="s">
        <v>23</v>
      </c>
    </row>
    <row r="388" spans="1:12" x14ac:dyDescent="0.35">
      <c r="A388">
        <v>387</v>
      </c>
      <c r="B388" t="s">
        <v>412</v>
      </c>
      <c r="C388">
        <v>32</v>
      </c>
      <c r="D388" t="s">
        <v>35</v>
      </c>
      <c r="E388" t="s">
        <v>27</v>
      </c>
      <c r="F388">
        <v>7537</v>
      </c>
      <c r="G388" s="1">
        <v>43250</v>
      </c>
      <c r="H388">
        <v>0</v>
      </c>
      <c r="I388">
        <v>10</v>
      </c>
      <c r="J388" t="s">
        <v>15</v>
      </c>
      <c r="K388" t="s">
        <v>16</v>
      </c>
      <c r="L388" t="s">
        <v>17</v>
      </c>
    </row>
    <row r="389" spans="1:12" x14ac:dyDescent="0.35">
      <c r="A389">
        <v>388</v>
      </c>
      <c r="B389" t="s">
        <v>413</v>
      </c>
      <c r="C389">
        <v>27</v>
      </c>
      <c r="D389" t="s">
        <v>19</v>
      </c>
      <c r="E389" t="s">
        <v>20</v>
      </c>
      <c r="F389">
        <v>2593</v>
      </c>
      <c r="G389" s="1">
        <v>42943</v>
      </c>
      <c r="H389">
        <v>1</v>
      </c>
      <c r="I389">
        <v>20</v>
      </c>
      <c r="J389" t="s">
        <v>15</v>
      </c>
      <c r="K389" t="s">
        <v>16</v>
      </c>
      <c r="L389" t="s">
        <v>23</v>
      </c>
    </row>
    <row r="390" spans="1:12" x14ac:dyDescent="0.35">
      <c r="A390">
        <v>389</v>
      </c>
      <c r="B390" t="s">
        <v>414</v>
      </c>
      <c r="C390">
        <v>43</v>
      </c>
      <c r="D390" t="s">
        <v>19</v>
      </c>
      <c r="E390" t="s">
        <v>27</v>
      </c>
      <c r="F390">
        <v>2355</v>
      </c>
      <c r="G390" s="1">
        <v>42092</v>
      </c>
      <c r="I390">
        <v>5</v>
      </c>
      <c r="J390" t="s">
        <v>15</v>
      </c>
      <c r="K390" t="s">
        <v>30</v>
      </c>
      <c r="L390" t="s">
        <v>25</v>
      </c>
    </row>
    <row r="391" spans="1:12" x14ac:dyDescent="0.35">
      <c r="A391">
        <v>390</v>
      </c>
      <c r="B391" t="s">
        <v>415</v>
      </c>
      <c r="C391">
        <v>40</v>
      </c>
      <c r="D391" t="s">
        <v>13</v>
      </c>
      <c r="E391" t="s">
        <v>14</v>
      </c>
      <c r="F391">
        <v>2567</v>
      </c>
      <c r="G391" s="1">
        <v>42606</v>
      </c>
      <c r="H391">
        <v>0</v>
      </c>
      <c r="I391">
        <v>15</v>
      </c>
      <c r="J391" t="s">
        <v>15</v>
      </c>
      <c r="K391" t="s">
        <v>30</v>
      </c>
      <c r="L391" t="s">
        <v>23</v>
      </c>
    </row>
    <row r="392" spans="1:12" x14ac:dyDescent="0.35">
      <c r="A392">
        <v>391</v>
      </c>
      <c r="B392" t="s">
        <v>416</v>
      </c>
      <c r="C392">
        <v>32</v>
      </c>
      <c r="D392" t="s">
        <v>19</v>
      </c>
      <c r="E392" t="s">
        <v>20</v>
      </c>
      <c r="F392">
        <v>8745</v>
      </c>
      <c r="G392" s="1">
        <v>43678</v>
      </c>
      <c r="H392">
        <v>5</v>
      </c>
      <c r="I392">
        <v>13</v>
      </c>
      <c r="J392" t="s">
        <v>21</v>
      </c>
      <c r="K392" t="s">
        <v>22</v>
      </c>
      <c r="L392" t="s">
        <v>23</v>
      </c>
    </row>
    <row r="393" spans="1:12" x14ac:dyDescent="0.35">
      <c r="A393">
        <v>392</v>
      </c>
      <c r="B393" t="s">
        <v>46</v>
      </c>
      <c r="C393">
        <v>32</v>
      </c>
      <c r="D393" t="s">
        <v>13</v>
      </c>
      <c r="E393" t="s">
        <v>14</v>
      </c>
      <c r="F393">
        <v>6309</v>
      </c>
      <c r="G393" s="1">
        <v>45010</v>
      </c>
      <c r="H393">
        <v>5</v>
      </c>
      <c r="I393">
        <v>5</v>
      </c>
      <c r="J393" t="s">
        <v>15</v>
      </c>
      <c r="K393" t="s">
        <v>22</v>
      </c>
      <c r="L393" t="s">
        <v>23</v>
      </c>
    </row>
    <row r="394" spans="1:12" x14ac:dyDescent="0.35">
      <c r="A394">
        <v>393</v>
      </c>
      <c r="B394" t="s">
        <v>417</v>
      </c>
      <c r="C394">
        <v>20</v>
      </c>
      <c r="D394" t="s">
        <v>19</v>
      </c>
      <c r="E394" t="s">
        <v>27</v>
      </c>
      <c r="F394">
        <v>7431</v>
      </c>
      <c r="G394" s="1">
        <v>44811</v>
      </c>
      <c r="H394">
        <v>5</v>
      </c>
      <c r="I394">
        <v>8</v>
      </c>
      <c r="J394" t="s">
        <v>21</v>
      </c>
      <c r="K394" t="s">
        <v>16</v>
      </c>
      <c r="L394" t="s">
        <v>17</v>
      </c>
    </row>
    <row r="395" spans="1:12" x14ac:dyDescent="0.35">
      <c r="A395">
        <v>394</v>
      </c>
      <c r="B395" t="s">
        <v>418</v>
      </c>
      <c r="C395">
        <v>34</v>
      </c>
      <c r="D395" t="s">
        <v>13</v>
      </c>
      <c r="E395" t="s">
        <v>27</v>
      </c>
      <c r="F395">
        <v>8079</v>
      </c>
      <c r="G395" s="1">
        <v>45448</v>
      </c>
      <c r="H395">
        <v>2</v>
      </c>
      <c r="I395">
        <v>18</v>
      </c>
      <c r="J395" t="s">
        <v>15</v>
      </c>
      <c r="K395" t="s">
        <v>30</v>
      </c>
      <c r="L395" t="s">
        <v>25</v>
      </c>
    </row>
    <row r="396" spans="1:12" x14ac:dyDescent="0.35">
      <c r="A396">
        <v>395</v>
      </c>
      <c r="B396" t="s">
        <v>419</v>
      </c>
      <c r="C396">
        <v>22</v>
      </c>
      <c r="D396" t="s">
        <v>35</v>
      </c>
      <c r="E396" t="s">
        <v>14</v>
      </c>
      <c r="F396">
        <v>8844</v>
      </c>
      <c r="G396" s="1">
        <v>43614</v>
      </c>
      <c r="H396">
        <v>1</v>
      </c>
      <c r="I396">
        <v>14</v>
      </c>
      <c r="J396" t="s">
        <v>15</v>
      </c>
      <c r="K396" t="s">
        <v>16</v>
      </c>
      <c r="L396" t="s">
        <v>25</v>
      </c>
    </row>
    <row r="397" spans="1:12" x14ac:dyDescent="0.35">
      <c r="A397">
        <v>396</v>
      </c>
      <c r="B397" t="s">
        <v>420</v>
      </c>
      <c r="C397">
        <v>64</v>
      </c>
      <c r="D397" t="s">
        <v>35</v>
      </c>
      <c r="E397" t="s">
        <v>27</v>
      </c>
      <c r="F397">
        <v>5850</v>
      </c>
      <c r="G397" s="1">
        <v>42160</v>
      </c>
      <c r="H397">
        <v>2</v>
      </c>
      <c r="I397">
        <v>4</v>
      </c>
      <c r="J397" t="s">
        <v>15</v>
      </c>
      <c r="K397" t="s">
        <v>16</v>
      </c>
      <c r="L397" t="s">
        <v>25</v>
      </c>
    </row>
    <row r="398" spans="1:12" x14ac:dyDescent="0.35">
      <c r="A398">
        <v>397</v>
      </c>
      <c r="B398" t="s">
        <v>421</v>
      </c>
      <c r="C398">
        <v>37</v>
      </c>
      <c r="D398" t="s">
        <v>35</v>
      </c>
      <c r="E398" t="s">
        <v>14</v>
      </c>
      <c r="F398">
        <v>8104</v>
      </c>
      <c r="G398" s="1">
        <v>44159</v>
      </c>
      <c r="H398">
        <v>0</v>
      </c>
      <c r="I398">
        <v>20</v>
      </c>
      <c r="J398" t="s">
        <v>15</v>
      </c>
      <c r="K398" t="s">
        <v>22</v>
      </c>
      <c r="L398" t="s">
        <v>25</v>
      </c>
    </row>
    <row r="399" spans="1:12" x14ac:dyDescent="0.35">
      <c r="A399">
        <v>398</v>
      </c>
      <c r="B399" t="s">
        <v>422</v>
      </c>
      <c r="C399">
        <v>57</v>
      </c>
      <c r="D399" t="s">
        <v>35</v>
      </c>
      <c r="E399" t="s">
        <v>20</v>
      </c>
      <c r="F399">
        <v>6316</v>
      </c>
      <c r="G399" s="1">
        <v>44568</v>
      </c>
      <c r="H399">
        <v>1</v>
      </c>
      <c r="I399">
        <v>13</v>
      </c>
      <c r="J399" t="s">
        <v>15</v>
      </c>
      <c r="K399" t="s">
        <v>16</v>
      </c>
      <c r="L399" t="s">
        <v>25</v>
      </c>
    </row>
    <row r="400" spans="1:12" x14ac:dyDescent="0.35">
      <c r="A400">
        <v>399</v>
      </c>
      <c r="B400" t="s">
        <v>423</v>
      </c>
      <c r="C400">
        <v>22</v>
      </c>
      <c r="D400" t="s">
        <v>13</v>
      </c>
      <c r="E400" t="s">
        <v>14</v>
      </c>
      <c r="F400">
        <v>9294</v>
      </c>
      <c r="G400" s="1">
        <v>43955</v>
      </c>
      <c r="I400">
        <v>11</v>
      </c>
      <c r="J400" t="s">
        <v>21</v>
      </c>
      <c r="K400" t="s">
        <v>30</v>
      </c>
      <c r="L400" t="s">
        <v>23</v>
      </c>
    </row>
    <row r="401" spans="1:12" x14ac:dyDescent="0.35">
      <c r="A401">
        <v>400</v>
      </c>
      <c r="B401" t="s">
        <v>424</v>
      </c>
      <c r="C401">
        <v>63</v>
      </c>
      <c r="D401" t="s">
        <v>35</v>
      </c>
      <c r="E401" t="s">
        <v>20</v>
      </c>
      <c r="F401">
        <v>2418</v>
      </c>
      <c r="G401" s="1">
        <v>43333</v>
      </c>
      <c r="H401">
        <v>0</v>
      </c>
      <c r="I401">
        <v>7</v>
      </c>
      <c r="J401" t="s">
        <v>15</v>
      </c>
      <c r="K401" t="s">
        <v>22</v>
      </c>
      <c r="L401" t="s">
        <v>17</v>
      </c>
    </row>
    <row r="402" spans="1:12" x14ac:dyDescent="0.35">
      <c r="A402">
        <v>401</v>
      </c>
      <c r="B402" t="s">
        <v>425</v>
      </c>
      <c r="C402">
        <v>35</v>
      </c>
      <c r="D402" t="s">
        <v>13</v>
      </c>
      <c r="E402" t="s">
        <v>20</v>
      </c>
      <c r="F402">
        <v>6638</v>
      </c>
      <c r="G402" s="1">
        <v>42735</v>
      </c>
      <c r="H402">
        <v>0</v>
      </c>
      <c r="I402">
        <v>13</v>
      </c>
      <c r="J402" t="s">
        <v>15</v>
      </c>
      <c r="K402" t="s">
        <v>30</v>
      </c>
      <c r="L402" t="s">
        <v>25</v>
      </c>
    </row>
    <row r="403" spans="1:12" x14ac:dyDescent="0.35">
      <c r="A403">
        <v>402</v>
      </c>
      <c r="B403" t="s">
        <v>426</v>
      </c>
      <c r="C403">
        <v>52</v>
      </c>
      <c r="D403" t="s">
        <v>13</v>
      </c>
      <c r="E403" t="s">
        <v>27</v>
      </c>
      <c r="F403">
        <v>4967</v>
      </c>
      <c r="G403" s="1">
        <v>43763</v>
      </c>
      <c r="H403">
        <v>1</v>
      </c>
      <c r="I403">
        <v>3</v>
      </c>
      <c r="J403" t="s">
        <v>21</v>
      </c>
      <c r="K403" t="s">
        <v>22</v>
      </c>
      <c r="L403" t="s">
        <v>17</v>
      </c>
    </row>
    <row r="404" spans="1:12" x14ac:dyDescent="0.35">
      <c r="A404">
        <v>403</v>
      </c>
      <c r="B404" t="s">
        <v>427</v>
      </c>
      <c r="C404">
        <v>59</v>
      </c>
      <c r="D404" t="s">
        <v>35</v>
      </c>
      <c r="E404" t="s">
        <v>20</v>
      </c>
      <c r="F404">
        <v>4496</v>
      </c>
      <c r="G404" s="1">
        <v>45068</v>
      </c>
      <c r="H404">
        <v>1</v>
      </c>
      <c r="I404">
        <v>20</v>
      </c>
      <c r="J404" t="s">
        <v>21</v>
      </c>
      <c r="K404" t="s">
        <v>16</v>
      </c>
      <c r="L404" t="s">
        <v>17</v>
      </c>
    </row>
    <row r="405" spans="1:12" x14ac:dyDescent="0.35">
      <c r="A405">
        <v>404</v>
      </c>
      <c r="B405" t="s">
        <v>428</v>
      </c>
      <c r="C405">
        <v>40</v>
      </c>
      <c r="D405" t="s">
        <v>13</v>
      </c>
      <c r="E405" t="s">
        <v>27</v>
      </c>
      <c r="F405">
        <v>9276</v>
      </c>
      <c r="G405" s="1">
        <v>42640</v>
      </c>
      <c r="H405">
        <v>0</v>
      </c>
      <c r="I405">
        <v>12</v>
      </c>
      <c r="J405" t="s">
        <v>15</v>
      </c>
      <c r="K405" t="s">
        <v>30</v>
      </c>
      <c r="L405" t="s">
        <v>25</v>
      </c>
    </row>
    <row r="406" spans="1:12" x14ac:dyDescent="0.35">
      <c r="A406">
        <v>405</v>
      </c>
      <c r="B406" t="s">
        <v>429</v>
      </c>
      <c r="C406">
        <v>20</v>
      </c>
      <c r="D406" t="s">
        <v>19</v>
      </c>
      <c r="E406" t="s">
        <v>27</v>
      </c>
      <c r="F406">
        <v>6520</v>
      </c>
      <c r="G406" s="1">
        <v>44341</v>
      </c>
      <c r="I406">
        <v>2</v>
      </c>
      <c r="J406" t="s">
        <v>15</v>
      </c>
      <c r="K406" t="s">
        <v>30</v>
      </c>
      <c r="L406" t="s">
        <v>25</v>
      </c>
    </row>
    <row r="407" spans="1:12" x14ac:dyDescent="0.35">
      <c r="A407">
        <v>406</v>
      </c>
      <c r="B407" t="s">
        <v>430</v>
      </c>
      <c r="C407">
        <v>57</v>
      </c>
      <c r="D407" t="s">
        <v>35</v>
      </c>
      <c r="E407" t="s">
        <v>20</v>
      </c>
      <c r="F407">
        <v>9505</v>
      </c>
      <c r="G407" s="1">
        <v>45522</v>
      </c>
      <c r="H407">
        <v>3</v>
      </c>
      <c r="I407">
        <v>6</v>
      </c>
      <c r="J407" t="s">
        <v>21</v>
      </c>
      <c r="K407" t="s">
        <v>16</v>
      </c>
      <c r="L407" t="s">
        <v>17</v>
      </c>
    </row>
    <row r="408" spans="1:12" x14ac:dyDescent="0.35">
      <c r="A408">
        <v>407</v>
      </c>
      <c r="B408" t="s">
        <v>431</v>
      </c>
      <c r="C408">
        <v>31</v>
      </c>
      <c r="D408" t="s">
        <v>19</v>
      </c>
      <c r="E408" t="s">
        <v>27</v>
      </c>
      <c r="F408">
        <v>9268</v>
      </c>
      <c r="G408" s="1">
        <v>42943</v>
      </c>
      <c r="I408">
        <v>5</v>
      </c>
      <c r="J408" t="s">
        <v>15</v>
      </c>
      <c r="K408" t="s">
        <v>30</v>
      </c>
      <c r="L408" t="s">
        <v>23</v>
      </c>
    </row>
    <row r="409" spans="1:12" x14ac:dyDescent="0.35">
      <c r="A409">
        <v>408</v>
      </c>
      <c r="B409" t="s">
        <v>432</v>
      </c>
      <c r="C409">
        <v>22</v>
      </c>
      <c r="D409" t="s">
        <v>13</v>
      </c>
      <c r="E409" t="s">
        <v>14</v>
      </c>
      <c r="F409">
        <v>7728</v>
      </c>
      <c r="G409" s="1">
        <v>43002</v>
      </c>
      <c r="H409">
        <v>2</v>
      </c>
      <c r="I409">
        <v>17</v>
      </c>
      <c r="J409" t="s">
        <v>15</v>
      </c>
      <c r="K409" t="s">
        <v>22</v>
      </c>
      <c r="L409" t="s">
        <v>17</v>
      </c>
    </row>
    <row r="410" spans="1:12" x14ac:dyDescent="0.35">
      <c r="A410">
        <v>409</v>
      </c>
      <c r="B410" t="s">
        <v>433</v>
      </c>
      <c r="C410">
        <v>56</v>
      </c>
      <c r="D410" t="s">
        <v>13</v>
      </c>
      <c r="E410" t="s">
        <v>27</v>
      </c>
      <c r="F410">
        <v>5092</v>
      </c>
      <c r="G410" s="1">
        <v>42225</v>
      </c>
      <c r="H410">
        <v>5</v>
      </c>
      <c r="I410">
        <v>19</v>
      </c>
      <c r="J410" t="s">
        <v>21</v>
      </c>
      <c r="K410" t="s">
        <v>30</v>
      </c>
      <c r="L410" t="s">
        <v>23</v>
      </c>
    </row>
    <row r="411" spans="1:12" x14ac:dyDescent="0.35">
      <c r="A411">
        <v>410</v>
      </c>
      <c r="B411" t="s">
        <v>434</v>
      </c>
      <c r="C411">
        <v>51</v>
      </c>
      <c r="D411" t="s">
        <v>35</v>
      </c>
      <c r="E411" t="s">
        <v>14</v>
      </c>
      <c r="F411">
        <v>6689</v>
      </c>
      <c r="G411" s="1">
        <v>45067</v>
      </c>
      <c r="H411">
        <v>3</v>
      </c>
      <c r="I411">
        <v>18</v>
      </c>
      <c r="J411" t="s">
        <v>21</v>
      </c>
      <c r="K411" t="s">
        <v>22</v>
      </c>
      <c r="L411" t="s">
        <v>23</v>
      </c>
    </row>
    <row r="412" spans="1:12" x14ac:dyDescent="0.35">
      <c r="A412">
        <v>411</v>
      </c>
      <c r="B412" t="s">
        <v>435</v>
      </c>
      <c r="C412">
        <v>64</v>
      </c>
      <c r="D412" t="s">
        <v>35</v>
      </c>
      <c r="E412" t="s">
        <v>20</v>
      </c>
      <c r="F412">
        <v>4303</v>
      </c>
      <c r="G412" s="1">
        <v>42230</v>
      </c>
      <c r="I412">
        <v>8</v>
      </c>
      <c r="J412" t="s">
        <v>21</v>
      </c>
      <c r="K412" t="s">
        <v>22</v>
      </c>
      <c r="L412" t="s">
        <v>25</v>
      </c>
    </row>
    <row r="413" spans="1:12" x14ac:dyDescent="0.35">
      <c r="A413">
        <v>412</v>
      </c>
      <c r="B413" t="s">
        <v>436</v>
      </c>
      <c r="C413">
        <v>52</v>
      </c>
      <c r="D413" t="s">
        <v>13</v>
      </c>
      <c r="E413" t="s">
        <v>20</v>
      </c>
      <c r="F413">
        <v>3739</v>
      </c>
      <c r="G413" s="1">
        <v>42550</v>
      </c>
      <c r="H413">
        <v>5</v>
      </c>
      <c r="I413">
        <v>5</v>
      </c>
      <c r="J413" t="s">
        <v>15</v>
      </c>
      <c r="K413" t="s">
        <v>22</v>
      </c>
      <c r="L413" t="s">
        <v>23</v>
      </c>
    </row>
    <row r="414" spans="1:12" x14ac:dyDescent="0.35">
      <c r="A414">
        <v>413</v>
      </c>
      <c r="B414" t="s">
        <v>437</v>
      </c>
      <c r="C414">
        <v>27</v>
      </c>
      <c r="D414" t="s">
        <v>35</v>
      </c>
      <c r="E414" t="s">
        <v>20</v>
      </c>
      <c r="F414">
        <v>4777</v>
      </c>
      <c r="G414" s="1">
        <v>45224</v>
      </c>
      <c r="H414">
        <v>5</v>
      </c>
      <c r="I414">
        <v>12</v>
      </c>
      <c r="J414" t="s">
        <v>15</v>
      </c>
      <c r="K414" t="s">
        <v>30</v>
      </c>
      <c r="L414" t="s">
        <v>25</v>
      </c>
    </row>
    <row r="415" spans="1:12" x14ac:dyDescent="0.35">
      <c r="A415">
        <v>414</v>
      </c>
      <c r="B415" t="s">
        <v>438</v>
      </c>
      <c r="C415">
        <v>41</v>
      </c>
      <c r="D415" t="s">
        <v>19</v>
      </c>
      <c r="E415" t="s">
        <v>14</v>
      </c>
      <c r="F415">
        <v>7380</v>
      </c>
      <c r="G415" s="1">
        <v>45224</v>
      </c>
      <c r="I415">
        <v>13</v>
      </c>
      <c r="J415" t="s">
        <v>15</v>
      </c>
      <c r="K415" t="s">
        <v>22</v>
      </c>
      <c r="L415" t="s">
        <v>25</v>
      </c>
    </row>
    <row r="416" spans="1:12" x14ac:dyDescent="0.35">
      <c r="A416">
        <v>415</v>
      </c>
      <c r="B416" t="s">
        <v>439</v>
      </c>
      <c r="C416">
        <v>37</v>
      </c>
      <c r="D416" t="s">
        <v>35</v>
      </c>
      <c r="E416" t="s">
        <v>20</v>
      </c>
      <c r="F416">
        <v>3524</v>
      </c>
      <c r="G416" s="1">
        <v>42573</v>
      </c>
      <c r="I416">
        <v>12</v>
      </c>
      <c r="J416" t="s">
        <v>21</v>
      </c>
      <c r="K416" t="s">
        <v>22</v>
      </c>
      <c r="L416" t="s">
        <v>17</v>
      </c>
    </row>
    <row r="417" spans="1:12" x14ac:dyDescent="0.35">
      <c r="A417">
        <v>416</v>
      </c>
      <c r="B417" t="s">
        <v>440</v>
      </c>
      <c r="C417">
        <v>43</v>
      </c>
      <c r="D417" t="s">
        <v>13</v>
      </c>
      <c r="E417" t="s">
        <v>27</v>
      </c>
      <c r="F417">
        <v>4117</v>
      </c>
      <c r="G417" s="1">
        <v>42297</v>
      </c>
      <c r="H417">
        <v>0</v>
      </c>
      <c r="I417">
        <v>5</v>
      </c>
      <c r="J417" t="s">
        <v>15</v>
      </c>
      <c r="K417" t="s">
        <v>22</v>
      </c>
      <c r="L417" t="s">
        <v>17</v>
      </c>
    </row>
    <row r="418" spans="1:12" x14ac:dyDescent="0.35">
      <c r="A418">
        <v>417</v>
      </c>
      <c r="B418" t="s">
        <v>441</v>
      </c>
      <c r="C418">
        <v>51</v>
      </c>
      <c r="D418" t="s">
        <v>19</v>
      </c>
      <c r="E418" t="s">
        <v>20</v>
      </c>
      <c r="F418">
        <v>2370</v>
      </c>
      <c r="G418" s="1">
        <v>43157</v>
      </c>
      <c r="I418">
        <v>5</v>
      </c>
      <c r="J418" t="s">
        <v>21</v>
      </c>
      <c r="K418" t="s">
        <v>30</v>
      </c>
      <c r="L418" t="s">
        <v>23</v>
      </c>
    </row>
    <row r="419" spans="1:12" x14ac:dyDescent="0.35">
      <c r="A419">
        <v>418</v>
      </c>
      <c r="B419" t="s">
        <v>442</v>
      </c>
      <c r="C419">
        <v>39</v>
      </c>
      <c r="D419" t="s">
        <v>35</v>
      </c>
      <c r="E419" t="s">
        <v>14</v>
      </c>
      <c r="F419">
        <v>3677</v>
      </c>
      <c r="G419" s="1">
        <v>42220</v>
      </c>
      <c r="H419">
        <v>0</v>
      </c>
      <c r="I419">
        <v>3</v>
      </c>
      <c r="J419" t="s">
        <v>15</v>
      </c>
      <c r="K419" t="s">
        <v>16</v>
      </c>
      <c r="L419" t="s">
        <v>23</v>
      </c>
    </row>
    <row r="420" spans="1:12" x14ac:dyDescent="0.35">
      <c r="A420">
        <v>419</v>
      </c>
      <c r="B420" t="s">
        <v>443</v>
      </c>
      <c r="C420">
        <v>27</v>
      </c>
      <c r="D420" t="s">
        <v>35</v>
      </c>
      <c r="E420" t="s">
        <v>14</v>
      </c>
      <c r="F420">
        <v>5837</v>
      </c>
      <c r="G420" s="1">
        <v>45612</v>
      </c>
      <c r="H420">
        <v>0</v>
      </c>
      <c r="I420">
        <v>14</v>
      </c>
      <c r="J420" t="s">
        <v>15</v>
      </c>
      <c r="K420" t="s">
        <v>16</v>
      </c>
      <c r="L420" t="s">
        <v>25</v>
      </c>
    </row>
    <row r="421" spans="1:12" x14ac:dyDescent="0.35">
      <c r="A421">
        <v>420</v>
      </c>
      <c r="B421" t="s">
        <v>444</v>
      </c>
      <c r="C421">
        <v>64</v>
      </c>
      <c r="D421" t="s">
        <v>35</v>
      </c>
      <c r="E421" t="s">
        <v>20</v>
      </c>
      <c r="F421">
        <v>8406</v>
      </c>
      <c r="G421" s="1">
        <v>45585</v>
      </c>
      <c r="H421">
        <v>0</v>
      </c>
      <c r="I421">
        <v>7</v>
      </c>
      <c r="J421" t="s">
        <v>15</v>
      </c>
      <c r="K421" t="s">
        <v>30</v>
      </c>
      <c r="L421" t="s">
        <v>23</v>
      </c>
    </row>
    <row r="422" spans="1:12" x14ac:dyDescent="0.35">
      <c r="A422">
        <v>421</v>
      </c>
      <c r="B422" t="s">
        <v>445</v>
      </c>
      <c r="C422">
        <v>49</v>
      </c>
      <c r="D422" t="s">
        <v>13</v>
      </c>
      <c r="E422" t="s">
        <v>14</v>
      </c>
      <c r="F422">
        <v>5735</v>
      </c>
      <c r="G422" s="1">
        <v>43568</v>
      </c>
      <c r="I422">
        <v>4</v>
      </c>
      <c r="J422" t="s">
        <v>21</v>
      </c>
      <c r="K422" t="s">
        <v>30</v>
      </c>
      <c r="L422" t="s">
        <v>25</v>
      </c>
    </row>
    <row r="423" spans="1:12" x14ac:dyDescent="0.35">
      <c r="A423">
        <v>422</v>
      </c>
      <c r="B423" t="s">
        <v>446</v>
      </c>
      <c r="C423">
        <v>19</v>
      </c>
      <c r="D423" t="s">
        <v>13</v>
      </c>
      <c r="E423" t="s">
        <v>27</v>
      </c>
      <c r="F423">
        <v>8798</v>
      </c>
      <c r="G423" s="1">
        <v>42162</v>
      </c>
      <c r="H423">
        <v>5</v>
      </c>
      <c r="I423">
        <v>15</v>
      </c>
      <c r="J423" t="s">
        <v>15</v>
      </c>
      <c r="K423" t="s">
        <v>22</v>
      </c>
      <c r="L423" t="s">
        <v>23</v>
      </c>
    </row>
    <row r="424" spans="1:12" x14ac:dyDescent="0.35">
      <c r="A424">
        <v>423</v>
      </c>
      <c r="B424" t="s">
        <v>447</v>
      </c>
      <c r="C424">
        <v>30</v>
      </c>
      <c r="D424" t="s">
        <v>35</v>
      </c>
      <c r="E424" t="s">
        <v>27</v>
      </c>
      <c r="F424">
        <v>5836</v>
      </c>
      <c r="G424" s="1">
        <v>44990</v>
      </c>
      <c r="H424">
        <v>0</v>
      </c>
      <c r="I424">
        <v>11</v>
      </c>
      <c r="J424" t="s">
        <v>15</v>
      </c>
      <c r="K424" t="s">
        <v>16</v>
      </c>
      <c r="L424" t="s">
        <v>23</v>
      </c>
    </row>
    <row r="425" spans="1:12" x14ac:dyDescent="0.35">
      <c r="A425">
        <v>424</v>
      </c>
      <c r="B425" t="s">
        <v>448</v>
      </c>
      <c r="C425">
        <v>46</v>
      </c>
      <c r="D425" t="s">
        <v>35</v>
      </c>
      <c r="E425" t="s">
        <v>14</v>
      </c>
      <c r="F425">
        <v>7729</v>
      </c>
      <c r="G425" s="1">
        <v>44662</v>
      </c>
      <c r="H425">
        <v>3</v>
      </c>
      <c r="I425">
        <v>7</v>
      </c>
      <c r="J425" t="s">
        <v>21</v>
      </c>
      <c r="K425" t="s">
        <v>22</v>
      </c>
      <c r="L425" t="s">
        <v>17</v>
      </c>
    </row>
    <row r="426" spans="1:12" x14ac:dyDescent="0.35">
      <c r="A426">
        <v>425</v>
      </c>
      <c r="B426" t="s">
        <v>449</v>
      </c>
      <c r="C426">
        <v>49</v>
      </c>
      <c r="D426" t="s">
        <v>35</v>
      </c>
      <c r="E426" t="s">
        <v>20</v>
      </c>
      <c r="F426">
        <v>4385</v>
      </c>
      <c r="G426" s="1">
        <v>43691</v>
      </c>
      <c r="I426">
        <v>1</v>
      </c>
      <c r="J426" t="s">
        <v>21</v>
      </c>
      <c r="K426" t="s">
        <v>22</v>
      </c>
      <c r="L426" t="s">
        <v>25</v>
      </c>
    </row>
    <row r="427" spans="1:12" x14ac:dyDescent="0.35">
      <c r="A427">
        <v>426</v>
      </c>
      <c r="B427" t="s">
        <v>450</v>
      </c>
      <c r="C427">
        <v>45</v>
      </c>
      <c r="D427" t="s">
        <v>35</v>
      </c>
      <c r="E427" t="s">
        <v>20</v>
      </c>
      <c r="F427">
        <v>5367</v>
      </c>
      <c r="G427" s="1">
        <v>45018</v>
      </c>
      <c r="I427">
        <v>13</v>
      </c>
      <c r="J427" t="s">
        <v>21</v>
      </c>
      <c r="K427" t="s">
        <v>22</v>
      </c>
      <c r="L427" t="s">
        <v>25</v>
      </c>
    </row>
    <row r="428" spans="1:12" x14ac:dyDescent="0.35">
      <c r="A428">
        <v>427</v>
      </c>
      <c r="B428" t="s">
        <v>451</v>
      </c>
      <c r="C428">
        <v>52</v>
      </c>
      <c r="D428" t="s">
        <v>35</v>
      </c>
      <c r="E428" t="s">
        <v>14</v>
      </c>
      <c r="F428">
        <v>2041</v>
      </c>
      <c r="G428" s="1">
        <v>44887</v>
      </c>
      <c r="H428">
        <v>1</v>
      </c>
      <c r="I428">
        <v>8</v>
      </c>
      <c r="J428" t="s">
        <v>21</v>
      </c>
      <c r="K428" t="s">
        <v>30</v>
      </c>
      <c r="L428" t="s">
        <v>23</v>
      </c>
    </row>
    <row r="429" spans="1:12" x14ac:dyDescent="0.35">
      <c r="A429">
        <v>428</v>
      </c>
      <c r="B429" t="s">
        <v>452</v>
      </c>
      <c r="C429">
        <v>41</v>
      </c>
      <c r="D429" t="s">
        <v>19</v>
      </c>
      <c r="E429" t="s">
        <v>20</v>
      </c>
      <c r="F429">
        <v>3720</v>
      </c>
      <c r="G429" s="1">
        <v>42232</v>
      </c>
      <c r="H429">
        <v>2</v>
      </c>
      <c r="I429">
        <v>15</v>
      </c>
      <c r="J429" t="s">
        <v>21</v>
      </c>
      <c r="K429" t="s">
        <v>22</v>
      </c>
      <c r="L429" t="s">
        <v>25</v>
      </c>
    </row>
    <row r="430" spans="1:12" x14ac:dyDescent="0.35">
      <c r="A430">
        <v>429</v>
      </c>
      <c r="B430" t="s">
        <v>453</v>
      </c>
      <c r="C430">
        <v>29</v>
      </c>
      <c r="D430" t="s">
        <v>19</v>
      </c>
      <c r="E430" t="s">
        <v>20</v>
      </c>
      <c r="F430">
        <v>7080</v>
      </c>
      <c r="G430" s="1">
        <v>42259</v>
      </c>
      <c r="H430">
        <v>4</v>
      </c>
      <c r="I430">
        <v>4</v>
      </c>
      <c r="J430" t="s">
        <v>21</v>
      </c>
      <c r="K430" t="s">
        <v>16</v>
      </c>
      <c r="L430" t="s">
        <v>25</v>
      </c>
    </row>
    <row r="431" spans="1:12" x14ac:dyDescent="0.35">
      <c r="A431">
        <v>430</v>
      </c>
      <c r="B431" t="s">
        <v>454</v>
      </c>
      <c r="C431">
        <v>62</v>
      </c>
      <c r="D431" t="s">
        <v>13</v>
      </c>
      <c r="E431" t="s">
        <v>27</v>
      </c>
      <c r="F431">
        <v>4753</v>
      </c>
      <c r="G431" s="1">
        <v>43995</v>
      </c>
      <c r="H431">
        <v>0</v>
      </c>
      <c r="I431">
        <v>20</v>
      </c>
      <c r="J431" t="s">
        <v>15</v>
      </c>
      <c r="K431" t="s">
        <v>22</v>
      </c>
      <c r="L431" t="s">
        <v>25</v>
      </c>
    </row>
    <row r="432" spans="1:12" x14ac:dyDescent="0.35">
      <c r="A432">
        <v>431</v>
      </c>
      <c r="B432" t="s">
        <v>455</v>
      </c>
      <c r="C432">
        <v>46</v>
      </c>
      <c r="D432" t="s">
        <v>19</v>
      </c>
      <c r="E432" t="s">
        <v>20</v>
      </c>
      <c r="F432">
        <v>6746</v>
      </c>
      <c r="G432" s="1">
        <v>43677</v>
      </c>
      <c r="H432">
        <v>5</v>
      </c>
      <c r="I432">
        <v>16</v>
      </c>
      <c r="J432" t="s">
        <v>21</v>
      </c>
      <c r="K432" t="s">
        <v>22</v>
      </c>
      <c r="L432" t="s">
        <v>17</v>
      </c>
    </row>
    <row r="433" spans="1:12" x14ac:dyDescent="0.35">
      <c r="A433">
        <v>432</v>
      </c>
      <c r="B433" t="s">
        <v>456</v>
      </c>
      <c r="C433">
        <v>38</v>
      </c>
      <c r="D433" t="s">
        <v>35</v>
      </c>
      <c r="E433" t="s">
        <v>20</v>
      </c>
      <c r="F433">
        <v>7860</v>
      </c>
      <c r="G433" s="1">
        <v>44951</v>
      </c>
      <c r="H433">
        <v>3</v>
      </c>
      <c r="I433">
        <v>8</v>
      </c>
      <c r="J433" t="s">
        <v>21</v>
      </c>
      <c r="K433" t="s">
        <v>22</v>
      </c>
      <c r="L433" t="s">
        <v>17</v>
      </c>
    </row>
    <row r="434" spans="1:12" x14ac:dyDescent="0.35">
      <c r="A434">
        <v>433</v>
      </c>
      <c r="B434" t="s">
        <v>457</v>
      </c>
      <c r="C434">
        <v>41</v>
      </c>
      <c r="D434" t="s">
        <v>19</v>
      </c>
      <c r="E434" t="s">
        <v>14</v>
      </c>
      <c r="F434">
        <v>9516</v>
      </c>
      <c r="G434" s="1">
        <v>44293</v>
      </c>
      <c r="H434">
        <v>3</v>
      </c>
      <c r="I434">
        <v>13</v>
      </c>
      <c r="J434" t="s">
        <v>21</v>
      </c>
      <c r="K434" t="s">
        <v>16</v>
      </c>
      <c r="L434" t="s">
        <v>23</v>
      </c>
    </row>
    <row r="435" spans="1:12" x14ac:dyDescent="0.35">
      <c r="A435">
        <v>434</v>
      </c>
      <c r="B435" t="s">
        <v>458</v>
      </c>
      <c r="C435">
        <v>26</v>
      </c>
      <c r="D435" t="s">
        <v>13</v>
      </c>
      <c r="E435" t="s">
        <v>14</v>
      </c>
      <c r="F435">
        <v>6763</v>
      </c>
      <c r="G435" s="1">
        <v>42844</v>
      </c>
      <c r="H435">
        <v>1</v>
      </c>
      <c r="I435">
        <v>16</v>
      </c>
      <c r="J435" t="s">
        <v>15</v>
      </c>
      <c r="K435" t="s">
        <v>22</v>
      </c>
      <c r="L435" t="s">
        <v>25</v>
      </c>
    </row>
    <row r="436" spans="1:12" x14ac:dyDescent="0.35">
      <c r="A436">
        <v>435</v>
      </c>
      <c r="B436" t="s">
        <v>459</v>
      </c>
      <c r="C436">
        <v>27</v>
      </c>
      <c r="D436" t="s">
        <v>13</v>
      </c>
      <c r="E436" t="s">
        <v>27</v>
      </c>
      <c r="F436">
        <v>7375</v>
      </c>
      <c r="G436" s="1">
        <v>44957</v>
      </c>
      <c r="H436">
        <v>2</v>
      </c>
      <c r="I436">
        <v>16</v>
      </c>
      <c r="J436" t="s">
        <v>21</v>
      </c>
      <c r="K436" t="s">
        <v>22</v>
      </c>
      <c r="L436" t="s">
        <v>23</v>
      </c>
    </row>
    <row r="437" spans="1:12" x14ac:dyDescent="0.35">
      <c r="A437">
        <v>436</v>
      </c>
      <c r="B437" t="s">
        <v>460</v>
      </c>
      <c r="C437">
        <v>37</v>
      </c>
      <c r="D437" t="s">
        <v>35</v>
      </c>
      <c r="E437" t="s">
        <v>14</v>
      </c>
      <c r="F437">
        <v>5439</v>
      </c>
      <c r="G437" s="1">
        <v>42544</v>
      </c>
      <c r="H437">
        <v>2</v>
      </c>
      <c r="I437">
        <v>14</v>
      </c>
      <c r="J437" t="s">
        <v>15</v>
      </c>
      <c r="K437" t="s">
        <v>30</v>
      </c>
      <c r="L437" t="s">
        <v>25</v>
      </c>
    </row>
    <row r="438" spans="1:12" x14ac:dyDescent="0.35">
      <c r="A438">
        <v>437</v>
      </c>
      <c r="B438" t="s">
        <v>461</v>
      </c>
      <c r="C438">
        <v>51</v>
      </c>
      <c r="D438" t="s">
        <v>35</v>
      </c>
      <c r="E438" t="s">
        <v>14</v>
      </c>
      <c r="F438">
        <v>6877</v>
      </c>
      <c r="G438" s="1">
        <v>43300</v>
      </c>
      <c r="I438">
        <v>4</v>
      </c>
      <c r="J438" t="s">
        <v>21</v>
      </c>
      <c r="K438" t="s">
        <v>30</v>
      </c>
      <c r="L438" t="s">
        <v>25</v>
      </c>
    </row>
    <row r="439" spans="1:12" x14ac:dyDescent="0.35">
      <c r="A439">
        <v>438</v>
      </c>
      <c r="B439" t="s">
        <v>462</v>
      </c>
      <c r="C439">
        <v>41</v>
      </c>
      <c r="D439" t="s">
        <v>19</v>
      </c>
      <c r="E439" t="s">
        <v>27</v>
      </c>
      <c r="F439">
        <v>8618</v>
      </c>
      <c r="G439" s="1">
        <v>45264</v>
      </c>
      <c r="I439">
        <v>6</v>
      </c>
      <c r="J439" t="s">
        <v>21</v>
      </c>
      <c r="K439" t="s">
        <v>22</v>
      </c>
      <c r="L439" t="s">
        <v>17</v>
      </c>
    </row>
    <row r="440" spans="1:12" x14ac:dyDescent="0.35">
      <c r="A440">
        <v>439</v>
      </c>
      <c r="B440" t="s">
        <v>463</v>
      </c>
      <c r="C440">
        <v>56</v>
      </c>
      <c r="D440" t="s">
        <v>35</v>
      </c>
      <c r="E440" t="s">
        <v>27</v>
      </c>
      <c r="F440">
        <v>8236</v>
      </c>
      <c r="G440" s="1">
        <v>45236</v>
      </c>
      <c r="I440">
        <v>2</v>
      </c>
      <c r="J440" t="s">
        <v>21</v>
      </c>
      <c r="K440" t="s">
        <v>22</v>
      </c>
      <c r="L440" t="s">
        <v>25</v>
      </c>
    </row>
    <row r="441" spans="1:12" x14ac:dyDescent="0.35">
      <c r="A441">
        <v>440</v>
      </c>
      <c r="B441" t="s">
        <v>464</v>
      </c>
      <c r="C441">
        <v>60</v>
      </c>
      <c r="D441" t="s">
        <v>19</v>
      </c>
      <c r="E441" t="s">
        <v>27</v>
      </c>
      <c r="F441">
        <v>7865</v>
      </c>
      <c r="G441" s="1">
        <v>42255</v>
      </c>
      <c r="H441">
        <v>2</v>
      </c>
      <c r="I441">
        <v>8</v>
      </c>
      <c r="J441" t="s">
        <v>15</v>
      </c>
      <c r="K441" t="s">
        <v>16</v>
      </c>
      <c r="L441" t="s">
        <v>25</v>
      </c>
    </row>
    <row r="442" spans="1:12" x14ac:dyDescent="0.35">
      <c r="A442">
        <v>441</v>
      </c>
      <c r="B442" t="s">
        <v>465</v>
      </c>
      <c r="C442">
        <v>43</v>
      </c>
      <c r="D442" t="s">
        <v>13</v>
      </c>
      <c r="E442" t="s">
        <v>20</v>
      </c>
      <c r="F442">
        <v>4246</v>
      </c>
      <c r="G442" s="1">
        <v>43628</v>
      </c>
      <c r="H442">
        <v>0</v>
      </c>
      <c r="I442">
        <v>11</v>
      </c>
      <c r="J442" t="s">
        <v>15</v>
      </c>
      <c r="K442" t="s">
        <v>22</v>
      </c>
      <c r="L442" t="s">
        <v>23</v>
      </c>
    </row>
    <row r="443" spans="1:12" x14ac:dyDescent="0.35">
      <c r="A443">
        <v>442</v>
      </c>
      <c r="B443" t="s">
        <v>466</v>
      </c>
      <c r="C443">
        <v>53</v>
      </c>
      <c r="D443" t="s">
        <v>19</v>
      </c>
      <c r="E443" t="s">
        <v>27</v>
      </c>
      <c r="F443">
        <v>5333</v>
      </c>
      <c r="G443" s="1">
        <v>44931</v>
      </c>
      <c r="I443">
        <v>19</v>
      </c>
      <c r="J443" t="s">
        <v>15</v>
      </c>
      <c r="K443" t="s">
        <v>16</v>
      </c>
      <c r="L443" t="s">
        <v>23</v>
      </c>
    </row>
    <row r="444" spans="1:12" x14ac:dyDescent="0.35">
      <c r="A444">
        <v>443</v>
      </c>
      <c r="B444" t="s">
        <v>467</v>
      </c>
      <c r="C444">
        <v>26</v>
      </c>
      <c r="D444" t="s">
        <v>19</v>
      </c>
      <c r="E444" t="s">
        <v>20</v>
      </c>
      <c r="F444">
        <v>9146</v>
      </c>
      <c r="G444" s="1">
        <v>45502</v>
      </c>
      <c r="H444">
        <v>3</v>
      </c>
      <c r="I444">
        <v>3</v>
      </c>
      <c r="J444" t="s">
        <v>21</v>
      </c>
      <c r="K444" t="s">
        <v>16</v>
      </c>
      <c r="L444" t="s">
        <v>23</v>
      </c>
    </row>
    <row r="445" spans="1:12" x14ac:dyDescent="0.35">
      <c r="A445">
        <v>444</v>
      </c>
      <c r="B445" t="s">
        <v>468</v>
      </c>
      <c r="C445">
        <v>65</v>
      </c>
      <c r="D445" t="s">
        <v>13</v>
      </c>
      <c r="E445" t="s">
        <v>27</v>
      </c>
      <c r="F445">
        <v>6442</v>
      </c>
      <c r="G445" s="1">
        <v>43484</v>
      </c>
      <c r="H445">
        <v>4</v>
      </c>
      <c r="I445">
        <v>14</v>
      </c>
      <c r="J445" t="s">
        <v>15</v>
      </c>
      <c r="K445" t="s">
        <v>16</v>
      </c>
      <c r="L445" t="s">
        <v>23</v>
      </c>
    </row>
    <row r="446" spans="1:12" x14ac:dyDescent="0.35">
      <c r="A446">
        <v>445</v>
      </c>
      <c r="B446" t="s">
        <v>469</v>
      </c>
      <c r="C446">
        <v>48</v>
      </c>
      <c r="D446" t="s">
        <v>13</v>
      </c>
      <c r="E446" t="s">
        <v>14</v>
      </c>
      <c r="F446">
        <v>4183</v>
      </c>
      <c r="G446" s="1">
        <v>44107</v>
      </c>
      <c r="H446">
        <v>4</v>
      </c>
      <c r="I446">
        <v>6</v>
      </c>
      <c r="J446" t="s">
        <v>15</v>
      </c>
      <c r="K446" t="s">
        <v>30</v>
      </c>
      <c r="L446" t="s">
        <v>23</v>
      </c>
    </row>
    <row r="447" spans="1:12" x14ac:dyDescent="0.35">
      <c r="A447">
        <v>446</v>
      </c>
      <c r="B447" t="s">
        <v>470</v>
      </c>
      <c r="C447">
        <v>26</v>
      </c>
      <c r="D447" t="s">
        <v>19</v>
      </c>
      <c r="E447" t="s">
        <v>20</v>
      </c>
      <c r="F447">
        <v>4741</v>
      </c>
      <c r="G447" s="1">
        <v>44499</v>
      </c>
      <c r="I447">
        <v>12</v>
      </c>
      <c r="J447" t="s">
        <v>21</v>
      </c>
      <c r="K447" t="s">
        <v>16</v>
      </c>
      <c r="L447" t="s">
        <v>25</v>
      </c>
    </row>
    <row r="448" spans="1:12" x14ac:dyDescent="0.35">
      <c r="A448">
        <v>447</v>
      </c>
      <c r="B448" t="s">
        <v>471</v>
      </c>
      <c r="C448">
        <v>45</v>
      </c>
      <c r="D448" t="s">
        <v>13</v>
      </c>
      <c r="E448" t="s">
        <v>14</v>
      </c>
      <c r="F448">
        <v>8888</v>
      </c>
      <c r="G448" s="1">
        <v>45149</v>
      </c>
      <c r="H448">
        <v>0</v>
      </c>
      <c r="I448">
        <v>13</v>
      </c>
      <c r="J448" t="s">
        <v>15</v>
      </c>
      <c r="K448" t="s">
        <v>30</v>
      </c>
      <c r="L448" t="s">
        <v>23</v>
      </c>
    </row>
    <row r="449" spans="1:12" x14ac:dyDescent="0.35">
      <c r="A449">
        <v>448</v>
      </c>
      <c r="B449" t="s">
        <v>472</v>
      </c>
      <c r="C449">
        <v>57</v>
      </c>
      <c r="D449" t="s">
        <v>13</v>
      </c>
      <c r="E449" t="s">
        <v>14</v>
      </c>
      <c r="F449">
        <v>8958</v>
      </c>
      <c r="G449" s="1">
        <v>44354</v>
      </c>
      <c r="H449">
        <v>1</v>
      </c>
      <c r="I449">
        <v>1</v>
      </c>
      <c r="J449" t="s">
        <v>15</v>
      </c>
      <c r="K449" t="s">
        <v>30</v>
      </c>
      <c r="L449" t="s">
        <v>25</v>
      </c>
    </row>
    <row r="450" spans="1:12" x14ac:dyDescent="0.35">
      <c r="A450">
        <v>449</v>
      </c>
      <c r="B450" t="s">
        <v>473</v>
      </c>
      <c r="C450">
        <v>29</v>
      </c>
      <c r="D450" t="s">
        <v>19</v>
      </c>
      <c r="E450" t="s">
        <v>14</v>
      </c>
      <c r="F450">
        <v>8526</v>
      </c>
      <c r="G450" s="1">
        <v>44538</v>
      </c>
      <c r="I450">
        <v>2</v>
      </c>
      <c r="J450" t="s">
        <v>21</v>
      </c>
      <c r="K450" t="s">
        <v>22</v>
      </c>
      <c r="L450" t="s">
        <v>25</v>
      </c>
    </row>
    <row r="451" spans="1:12" x14ac:dyDescent="0.35">
      <c r="A451">
        <v>450</v>
      </c>
      <c r="B451" t="s">
        <v>474</v>
      </c>
      <c r="C451">
        <v>40</v>
      </c>
      <c r="D451" t="s">
        <v>35</v>
      </c>
      <c r="E451" t="s">
        <v>20</v>
      </c>
      <c r="F451">
        <v>4566</v>
      </c>
      <c r="G451" s="1">
        <v>44487</v>
      </c>
      <c r="I451">
        <v>2</v>
      </c>
      <c r="J451" t="s">
        <v>21</v>
      </c>
      <c r="K451" t="s">
        <v>30</v>
      </c>
      <c r="L451" t="s">
        <v>17</v>
      </c>
    </row>
    <row r="452" spans="1:12" x14ac:dyDescent="0.35">
      <c r="A452">
        <v>451</v>
      </c>
      <c r="B452" t="s">
        <v>475</v>
      </c>
      <c r="C452">
        <v>63</v>
      </c>
      <c r="D452" t="s">
        <v>19</v>
      </c>
      <c r="E452" t="s">
        <v>20</v>
      </c>
      <c r="F452">
        <v>2663</v>
      </c>
      <c r="G452" s="1">
        <v>43677</v>
      </c>
      <c r="I452">
        <v>16</v>
      </c>
      <c r="J452" t="s">
        <v>15</v>
      </c>
      <c r="K452" t="s">
        <v>22</v>
      </c>
      <c r="L452" t="s">
        <v>23</v>
      </c>
    </row>
    <row r="453" spans="1:12" x14ac:dyDescent="0.35">
      <c r="A453">
        <v>452</v>
      </c>
      <c r="B453" t="s">
        <v>476</v>
      </c>
      <c r="C453">
        <v>41</v>
      </c>
      <c r="D453" t="s">
        <v>13</v>
      </c>
      <c r="E453" t="s">
        <v>20</v>
      </c>
      <c r="F453">
        <v>3824</v>
      </c>
      <c r="G453" s="1">
        <v>43393</v>
      </c>
      <c r="H453">
        <v>0</v>
      </c>
      <c r="I453">
        <v>9</v>
      </c>
      <c r="J453" t="s">
        <v>15</v>
      </c>
      <c r="K453" t="s">
        <v>16</v>
      </c>
      <c r="L453" t="s">
        <v>25</v>
      </c>
    </row>
    <row r="454" spans="1:12" x14ac:dyDescent="0.35">
      <c r="A454">
        <v>453</v>
      </c>
      <c r="B454" t="s">
        <v>477</v>
      </c>
      <c r="C454">
        <v>23</v>
      </c>
      <c r="D454" t="s">
        <v>19</v>
      </c>
      <c r="E454" t="s">
        <v>27</v>
      </c>
      <c r="F454">
        <v>2978</v>
      </c>
      <c r="G454" s="1">
        <v>44698</v>
      </c>
      <c r="H454">
        <v>2</v>
      </c>
      <c r="I454">
        <v>5</v>
      </c>
      <c r="J454" t="s">
        <v>15</v>
      </c>
      <c r="K454" t="s">
        <v>30</v>
      </c>
      <c r="L454" t="s">
        <v>23</v>
      </c>
    </row>
    <row r="455" spans="1:12" x14ac:dyDescent="0.35">
      <c r="A455">
        <v>454</v>
      </c>
      <c r="B455" t="s">
        <v>478</v>
      </c>
      <c r="C455">
        <v>54</v>
      </c>
      <c r="D455" t="s">
        <v>19</v>
      </c>
      <c r="E455" t="s">
        <v>27</v>
      </c>
      <c r="F455">
        <v>4395</v>
      </c>
      <c r="G455" s="1">
        <v>43729</v>
      </c>
      <c r="H455">
        <v>2</v>
      </c>
      <c r="I455">
        <v>18</v>
      </c>
      <c r="J455" t="s">
        <v>21</v>
      </c>
      <c r="K455" t="s">
        <v>22</v>
      </c>
      <c r="L455" t="s">
        <v>23</v>
      </c>
    </row>
    <row r="456" spans="1:12" x14ac:dyDescent="0.35">
      <c r="A456">
        <v>455</v>
      </c>
      <c r="B456" t="s">
        <v>479</v>
      </c>
      <c r="C456">
        <v>21</v>
      </c>
      <c r="D456" t="s">
        <v>13</v>
      </c>
      <c r="E456" t="s">
        <v>14</v>
      </c>
      <c r="F456">
        <v>3294</v>
      </c>
      <c r="G456" s="1">
        <v>43605</v>
      </c>
      <c r="I456">
        <v>13</v>
      </c>
      <c r="J456" t="s">
        <v>21</v>
      </c>
      <c r="K456" t="s">
        <v>30</v>
      </c>
      <c r="L456" t="s">
        <v>23</v>
      </c>
    </row>
    <row r="457" spans="1:12" x14ac:dyDescent="0.35">
      <c r="A457">
        <v>456</v>
      </c>
      <c r="B457" t="s">
        <v>480</v>
      </c>
      <c r="C457">
        <v>34</v>
      </c>
      <c r="D457" t="s">
        <v>19</v>
      </c>
      <c r="E457" t="s">
        <v>27</v>
      </c>
      <c r="F457">
        <v>8946</v>
      </c>
      <c r="G457" s="1">
        <v>45264</v>
      </c>
      <c r="I457">
        <v>14</v>
      </c>
      <c r="J457" t="s">
        <v>21</v>
      </c>
      <c r="K457" t="s">
        <v>30</v>
      </c>
      <c r="L457" t="s">
        <v>17</v>
      </c>
    </row>
    <row r="458" spans="1:12" x14ac:dyDescent="0.35">
      <c r="A458">
        <v>457</v>
      </c>
      <c r="B458" t="s">
        <v>481</v>
      </c>
      <c r="C458">
        <v>55</v>
      </c>
      <c r="D458" t="s">
        <v>35</v>
      </c>
      <c r="E458" t="s">
        <v>20</v>
      </c>
      <c r="F458">
        <v>6737</v>
      </c>
      <c r="G458" s="1">
        <v>45306</v>
      </c>
      <c r="H458">
        <v>1</v>
      </c>
      <c r="I458">
        <v>8</v>
      </c>
      <c r="J458" t="s">
        <v>21</v>
      </c>
      <c r="K458" t="s">
        <v>30</v>
      </c>
      <c r="L458" t="s">
        <v>25</v>
      </c>
    </row>
    <row r="459" spans="1:12" x14ac:dyDescent="0.35">
      <c r="A459">
        <v>458</v>
      </c>
      <c r="B459" t="s">
        <v>482</v>
      </c>
      <c r="C459">
        <v>19</v>
      </c>
      <c r="D459" t="s">
        <v>19</v>
      </c>
      <c r="E459" t="s">
        <v>27</v>
      </c>
      <c r="F459">
        <v>9946</v>
      </c>
      <c r="G459" s="1">
        <v>42468</v>
      </c>
      <c r="I459">
        <v>17</v>
      </c>
      <c r="J459" t="s">
        <v>21</v>
      </c>
      <c r="K459" t="s">
        <v>22</v>
      </c>
      <c r="L459" t="s">
        <v>23</v>
      </c>
    </row>
    <row r="460" spans="1:12" x14ac:dyDescent="0.35">
      <c r="A460">
        <v>459</v>
      </c>
      <c r="B460" t="s">
        <v>483</v>
      </c>
      <c r="C460">
        <v>44</v>
      </c>
      <c r="D460" t="s">
        <v>35</v>
      </c>
      <c r="E460" t="s">
        <v>14</v>
      </c>
      <c r="F460">
        <v>7571</v>
      </c>
      <c r="G460" s="1">
        <v>42938</v>
      </c>
      <c r="H460">
        <v>3</v>
      </c>
      <c r="I460">
        <v>7</v>
      </c>
      <c r="J460" t="s">
        <v>21</v>
      </c>
      <c r="K460" t="s">
        <v>30</v>
      </c>
      <c r="L460" t="s">
        <v>17</v>
      </c>
    </row>
    <row r="461" spans="1:12" x14ac:dyDescent="0.35">
      <c r="A461">
        <v>460</v>
      </c>
      <c r="B461" t="s">
        <v>484</v>
      </c>
      <c r="C461">
        <v>25</v>
      </c>
      <c r="D461" t="s">
        <v>35</v>
      </c>
      <c r="E461" t="s">
        <v>20</v>
      </c>
      <c r="F461">
        <v>8957</v>
      </c>
      <c r="G461" s="1">
        <v>44849</v>
      </c>
      <c r="I461">
        <v>18</v>
      </c>
      <c r="J461" t="s">
        <v>21</v>
      </c>
      <c r="K461" t="s">
        <v>16</v>
      </c>
      <c r="L461" t="s">
        <v>23</v>
      </c>
    </row>
    <row r="462" spans="1:12" x14ac:dyDescent="0.35">
      <c r="A462">
        <v>461</v>
      </c>
      <c r="B462" t="s">
        <v>485</v>
      </c>
      <c r="C462">
        <v>27</v>
      </c>
      <c r="D462" t="s">
        <v>13</v>
      </c>
      <c r="E462" t="s">
        <v>14</v>
      </c>
      <c r="F462">
        <v>9861</v>
      </c>
      <c r="G462" s="1">
        <v>42099</v>
      </c>
      <c r="H462">
        <v>3</v>
      </c>
      <c r="I462">
        <v>10</v>
      </c>
      <c r="J462" t="s">
        <v>15</v>
      </c>
      <c r="K462" t="s">
        <v>30</v>
      </c>
      <c r="L462" t="s">
        <v>25</v>
      </c>
    </row>
    <row r="463" spans="1:12" x14ac:dyDescent="0.35">
      <c r="A463">
        <v>462</v>
      </c>
      <c r="B463" t="s">
        <v>486</v>
      </c>
      <c r="C463">
        <v>24</v>
      </c>
      <c r="D463" t="s">
        <v>35</v>
      </c>
      <c r="E463" t="s">
        <v>14</v>
      </c>
      <c r="F463">
        <v>5998</v>
      </c>
      <c r="G463" s="1">
        <v>42788</v>
      </c>
      <c r="I463">
        <v>1</v>
      </c>
      <c r="J463" t="s">
        <v>21</v>
      </c>
      <c r="K463" t="s">
        <v>16</v>
      </c>
      <c r="L463" t="s">
        <v>17</v>
      </c>
    </row>
    <row r="464" spans="1:12" x14ac:dyDescent="0.35">
      <c r="A464">
        <v>463</v>
      </c>
      <c r="B464" t="s">
        <v>487</v>
      </c>
      <c r="C464">
        <v>57</v>
      </c>
      <c r="D464" t="s">
        <v>19</v>
      </c>
      <c r="E464" t="s">
        <v>20</v>
      </c>
      <c r="F464">
        <v>2495</v>
      </c>
      <c r="G464" s="1">
        <v>45321</v>
      </c>
      <c r="I464">
        <v>9</v>
      </c>
      <c r="J464" t="s">
        <v>15</v>
      </c>
      <c r="K464" t="s">
        <v>16</v>
      </c>
      <c r="L464" t="s">
        <v>17</v>
      </c>
    </row>
    <row r="465" spans="1:12" x14ac:dyDescent="0.35">
      <c r="A465">
        <v>464</v>
      </c>
      <c r="B465" t="s">
        <v>488</v>
      </c>
      <c r="C465">
        <v>35</v>
      </c>
      <c r="D465" t="s">
        <v>35</v>
      </c>
      <c r="E465" t="s">
        <v>20</v>
      </c>
      <c r="F465">
        <v>5070</v>
      </c>
      <c r="G465" s="1">
        <v>44783</v>
      </c>
      <c r="I465">
        <v>7</v>
      </c>
      <c r="J465" t="s">
        <v>21</v>
      </c>
      <c r="K465" t="s">
        <v>30</v>
      </c>
      <c r="L465" t="s">
        <v>17</v>
      </c>
    </row>
    <row r="466" spans="1:12" x14ac:dyDescent="0.35">
      <c r="A466">
        <v>465</v>
      </c>
      <c r="B466" t="s">
        <v>489</v>
      </c>
      <c r="C466">
        <v>35</v>
      </c>
      <c r="D466" t="s">
        <v>13</v>
      </c>
      <c r="E466" t="s">
        <v>27</v>
      </c>
      <c r="F466">
        <v>6622</v>
      </c>
      <c r="G466" s="1">
        <v>43839</v>
      </c>
      <c r="H466">
        <v>0</v>
      </c>
      <c r="I466">
        <v>19</v>
      </c>
      <c r="J466" t="s">
        <v>15</v>
      </c>
      <c r="K466" t="s">
        <v>30</v>
      </c>
      <c r="L466" t="s">
        <v>17</v>
      </c>
    </row>
    <row r="467" spans="1:12" x14ac:dyDescent="0.35">
      <c r="A467">
        <v>466</v>
      </c>
      <c r="B467" t="s">
        <v>490</v>
      </c>
      <c r="C467">
        <v>21</v>
      </c>
      <c r="D467" t="s">
        <v>35</v>
      </c>
      <c r="E467" t="s">
        <v>27</v>
      </c>
      <c r="F467">
        <v>6980</v>
      </c>
      <c r="G467" s="1">
        <v>43173</v>
      </c>
      <c r="H467">
        <v>0</v>
      </c>
      <c r="I467">
        <v>1</v>
      </c>
      <c r="J467" t="s">
        <v>15</v>
      </c>
      <c r="K467" t="s">
        <v>22</v>
      </c>
      <c r="L467" t="s">
        <v>25</v>
      </c>
    </row>
    <row r="468" spans="1:12" x14ac:dyDescent="0.35">
      <c r="A468">
        <v>467</v>
      </c>
      <c r="B468" t="s">
        <v>491</v>
      </c>
      <c r="C468">
        <v>65</v>
      </c>
      <c r="D468" t="s">
        <v>19</v>
      </c>
      <c r="E468" t="s">
        <v>20</v>
      </c>
      <c r="F468">
        <v>7570</v>
      </c>
      <c r="G468" s="1">
        <v>45508</v>
      </c>
      <c r="H468">
        <v>5</v>
      </c>
      <c r="I468">
        <v>5</v>
      </c>
      <c r="J468" t="s">
        <v>21</v>
      </c>
      <c r="K468" t="s">
        <v>22</v>
      </c>
      <c r="L468" t="s">
        <v>25</v>
      </c>
    </row>
    <row r="469" spans="1:12" x14ac:dyDescent="0.35">
      <c r="A469">
        <v>468</v>
      </c>
      <c r="B469" t="s">
        <v>492</v>
      </c>
      <c r="C469">
        <v>47</v>
      </c>
      <c r="D469" t="s">
        <v>19</v>
      </c>
      <c r="E469" t="s">
        <v>14</v>
      </c>
      <c r="F469">
        <v>4781</v>
      </c>
      <c r="G469" s="1">
        <v>44541</v>
      </c>
      <c r="H469">
        <v>2</v>
      </c>
      <c r="I469">
        <v>18</v>
      </c>
      <c r="J469" t="s">
        <v>21</v>
      </c>
      <c r="K469" t="s">
        <v>30</v>
      </c>
      <c r="L469" t="s">
        <v>17</v>
      </c>
    </row>
    <row r="470" spans="1:12" x14ac:dyDescent="0.35">
      <c r="A470">
        <v>469</v>
      </c>
      <c r="B470" t="s">
        <v>493</v>
      </c>
      <c r="C470">
        <v>29</v>
      </c>
      <c r="D470" t="s">
        <v>13</v>
      </c>
      <c r="E470" t="s">
        <v>27</v>
      </c>
      <c r="F470">
        <v>4297</v>
      </c>
      <c r="G470" s="1">
        <v>45262</v>
      </c>
      <c r="H470">
        <v>4</v>
      </c>
      <c r="I470">
        <v>10</v>
      </c>
      <c r="J470" t="s">
        <v>15</v>
      </c>
      <c r="K470" t="s">
        <v>30</v>
      </c>
      <c r="L470" t="s">
        <v>23</v>
      </c>
    </row>
    <row r="471" spans="1:12" x14ac:dyDescent="0.35">
      <c r="A471">
        <v>470</v>
      </c>
      <c r="B471" t="s">
        <v>494</v>
      </c>
      <c r="C471">
        <v>65</v>
      </c>
      <c r="D471" t="s">
        <v>35</v>
      </c>
      <c r="E471" t="s">
        <v>27</v>
      </c>
      <c r="F471">
        <v>5765</v>
      </c>
      <c r="G471" s="1">
        <v>42720</v>
      </c>
      <c r="H471">
        <v>3</v>
      </c>
      <c r="I471">
        <v>9</v>
      </c>
      <c r="J471" t="s">
        <v>21</v>
      </c>
      <c r="K471" t="s">
        <v>22</v>
      </c>
      <c r="L471" t="s">
        <v>25</v>
      </c>
    </row>
    <row r="472" spans="1:12" x14ac:dyDescent="0.35">
      <c r="A472">
        <v>471</v>
      </c>
      <c r="B472" t="s">
        <v>495</v>
      </c>
      <c r="C472">
        <v>44</v>
      </c>
      <c r="D472" t="s">
        <v>19</v>
      </c>
      <c r="E472" t="s">
        <v>27</v>
      </c>
      <c r="F472">
        <v>6741</v>
      </c>
      <c r="G472" s="1">
        <v>42174</v>
      </c>
      <c r="I472">
        <v>10</v>
      </c>
      <c r="J472" t="s">
        <v>15</v>
      </c>
      <c r="K472" t="s">
        <v>22</v>
      </c>
      <c r="L472" t="s">
        <v>23</v>
      </c>
    </row>
    <row r="473" spans="1:12" x14ac:dyDescent="0.35">
      <c r="A473">
        <v>472</v>
      </c>
      <c r="B473" t="s">
        <v>496</v>
      </c>
      <c r="C473">
        <v>65</v>
      </c>
      <c r="D473" t="s">
        <v>19</v>
      </c>
      <c r="E473" t="s">
        <v>27</v>
      </c>
      <c r="F473">
        <v>5473</v>
      </c>
      <c r="G473" s="1">
        <v>44126</v>
      </c>
      <c r="I473">
        <v>13</v>
      </c>
      <c r="J473" t="s">
        <v>15</v>
      </c>
      <c r="K473" t="s">
        <v>16</v>
      </c>
      <c r="L473" t="s">
        <v>23</v>
      </c>
    </row>
    <row r="474" spans="1:12" x14ac:dyDescent="0.35">
      <c r="A474">
        <v>473</v>
      </c>
      <c r="B474" t="s">
        <v>497</v>
      </c>
      <c r="C474">
        <v>18</v>
      </c>
      <c r="D474" t="s">
        <v>19</v>
      </c>
      <c r="E474" t="s">
        <v>27</v>
      </c>
      <c r="F474">
        <v>4923</v>
      </c>
      <c r="G474" s="1">
        <v>44325</v>
      </c>
      <c r="H474">
        <v>1</v>
      </c>
      <c r="I474">
        <v>8</v>
      </c>
      <c r="J474" t="s">
        <v>21</v>
      </c>
      <c r="K474" t="s">
        <v>30</v>
      </c>
      <c r="L474" t="s">
        <v>25</v>
      </c>
    </row>
    <row r="475" spans="1:12" x14ac:dyDescent="0.35">
      <c r="A475">
        <v>474</v>
      </c>
      <c r="B475" t="s">
        <v>498</v>
      </c>
      <c r="C475">
        <v>56</v>
      </c>
      <c r="D475" t="s">
        <v>35</v>
      </c>
      <c r="E475" t="s">
        <v>27</v>
      </c>
      <c r="F475">
        <v>2016</v>
      </c>
      <c r="G475" s="1">
        <v>44025</v>
      </c>
      <c r="H475">
        <v>0</v>
      </c>
      <c r="I475">
        <v>18</v>
      </c>
      <c r="J475" t="s">
        <v>15</v>
      </c>
      <c r="K475" t="s">
        <v>16</v>
      </c>
      <c r="L475" t="s">
        <v>25</v>
      </c>
    </row>
    <row r="476" spans="1:12" x14ac:dyDescent="0.35">
      <c r="A476">
        <v>475</v>
      </c>
      <c r="B476" t="s">
        <v>499</v>
      </c>
      <c r="C476">
        <v>65</v>
      </c>
      <c r="D476" t="s">
        <v>13</v>
      </c>
      <c r="E476" t="s">
        <v>20</v>
      </c>
      <c r="F476">
        <v>3820</v>
      </c>
      <c r="G476" s="1">
        <v>45325</v>
      </c>
      <c r="H476">
        <v>4</v>
      </c>
      <c r="I476">
        <v>2</v>
      </c>
      <c r="J476" t="s">
        <v>15</v>
      </c>
      <c r="K476" t="s">
        <v>30</v>
      </c>
      <c r="L476" t="s">
        <v>17</v>
      </c>
    </row>
    <row r="477" spans="1:12" x14ac:dyDescent="0.35">
      <c r="A477">
        <v>476</v>
      </c>
      <c r="B477" t="s">
        <v>500</v>
      </c>
      <c r="C477">
        <v>56</v>
      </c>
      <c r="D477" t="s">
        <v>13</v>
      </c>
      <c r="E477" t="s">
        <v>20</v>
      </c>
      <c r="F477">
        <v>2646</v>
      </c>
      <c r="G477" s="1">
        <v>43112</v>
      </c>
      <c r="I477">
        <v>12</v>
      </c>
      <c r="J477" t="s">
        <v>21</v>
      </c>
      <c r="K477" t="s">
        <v>22</v>
      </c>
      <c r="L477" t="s">
        <v>23</v>
      </c>
    </row>
    <row r="478" spans="1:12" x14ac:dyDescent="0.35">
      <c r="A478">
        <v>477</v>
      </c>
      <c r="B478" t="s">
        <v>501</v>
      </c>
      <c r="C478">
        <v>20</v>
      </c>
      <c r="D478" t="s">
        <v>13</v>
      </c>
      <c r="E478" t="s">
        <v>27</v>
      </c>
      <c r="F478">
        <v>3225</v>
      </c>
      <c r="G478" s="1">
        <v>45158</v>
      </c>
      <c r="H478">
        <v>1</v>
      </c>
      <c r="I478">
        <v>1</v>
      </c>
      <c r="J478" t="s">
        <v>21</v>
      </c>
      <c r="K478" t="s">
        <v>22</v>
      </c>
      <c r="L478" t="s">
        <v>25</v>
      </c>
    </row>
    <row r="479" spans="1:12" x14ac:dyDescent="0.35">
      <c r="A479">
        <v>478</v>
      </c>
      <c r="B479" t="s">
        <v>502</v>
      </c>
      <c r="C479">
        <v>19</v>
      </c>
      <c r="D479" t="s">
        <v>35</v>
      </c>
      <c r="E479" t="s">
        <v>20</v>
      </c>
      <c r="F479">
        <v>8893</v>
      </c>
      <c r="G479" s="1">
        <v>45610</v>
      </c>
      <c r="H479">
        <v>0</v>
      </c>
      <c r="I479">
        <v>7</v>
      </c>
      <c r="J479" t="s">
        <v>15</v>
      </c>
      <c r="K479" t="s">
        <v>30</v>
      </c>
      <c r="L479" t="s">
        <v>23</v>
      </c>
    </row>
    <row r="480" spans="1:12" x14ac:dyDescent="0.35">
      <c r="A480">
        <v>479</v>
      </c>
      <c r="B480" t="s">
        <v>503</v>
      </c>
      <c r="C480">
        <v>28</v>
      </c>
      <c r="D480" t="s">
        <v>35</v>
      </c>
      <c r="E480" t="s">
        <v>20</v>
      </c>
      <c r="F480">
        <v>8039</v>
      </c>
      <c r="G480" s="1">
        <v>45477</v>
      </c>
      <c r="H480">
        <v>0</v>
      </c>
      <c r="I480">
        <v>8</v>
      </c>
      <c r="J480" t="s">
        <v>15</v>
      </c>
      <c r="K480" t="s">
        <v>30</v>
      </c>
      <c r="L480" t="s">
        <v>23</v>
      </c>
    </row>
    <row r="481" spans="1:12" x14ac:dyDescent="0.35">
      <c r="A481">
        <v>480</v>
      </c>
      <c r="B481" t="s">
        <v>504</v>
      </c>
      <c r="C481">
        <v>28</v>
      </c>
      <c r="D481" t="s">
        <v>19</v>
      </c>
      <c r="E481" t="s">
        <v>14</v>
      </c>
      <c r="F481">
        <v>5496</v>
      </c>
      <c r="G481" s="1">
        <v>42025</v>
      </c>
      <c r="I481">
        <v>18</v>
      </c>
      <c r="J481" t="s">
        <v>15</v>
      </c>
      <c r="K481" t="s">
        <v>30</v>
      </c>
      <c r="L481" t="s">
        <v>17</v>
      </c>
    </row>
    <row r="482" spans="1:12" x14ac:dyDescent="0.35">
      <c r="A482">
        <v>481</v>
      </c>
      <c r="B482" t="s">
        <v>505</v>
      </c>
      <c r="C482">
        <v>41</v>
      </c>
      <c r="D482" t="s">
        <v>13</v>
      </c>
      <c r="E482" t="s">
        <v>20</v>
      </c>
      <c r="F482">
        <v>4368</v>
      </c>
      <c r="G482" s="1">
        <v>45240</v>
      </c>
      <c r="H482">
        <v>4</v>
      </c>
      <c r="I482">
        <v>11</v>
      </c>
      <c r="J482" t="s">
        <v>21</v>
      </c>
      <c r="K482" t="s">
        <v>22</v>
      </c>
      <c r="L482" t="s">
        <v>25</v>
      </c>
    </row>
    <row r="483" spans="1:12" x14ac:dyDescent="0.35">
      <c r="A483">
        <v>482</v>
      </c>
      <c r="B483" t="s">
        <v>506</v>
      </c>
      <c r="C483">
        <v>28</v>
      </c>
      <c r="D483" t="s">
        <v>35</v>
      </c>
      <c r="E483" t="s">
        <v>27</v>
      </c>
      <c r="F483">
        <v>6725</v>
      </c>
      <c r="G483" s="1">
        <v>42584</v>
      </c>
      <c r="H483">
        <v>5</v>
      </c>
      <c r="I483">
        <v>16</v>
      </c>
      <c r="J483" t="s">
        <v>15</v>
      </c>
      <c r="K483" t="s">
        <v>30</v>
      </c>
      <c r="L483" t="s">
        <v>17</v>
      </c>
    </row>
    <row r="484" spans="1:12" x14ac:dyDescent="0.35">
      <c r="A484">
        <v>483</v>
      </c>
      <c r="B484" t="s">
        <v>507</v>
      </c>
      <c r="C484">
        <v>29</v>
      </c>
      <c r="D484" t="s">
        <v>13</v>
      </c>
      <c r="E484" t="s">
        <v>20</v>
      </c>
      <c r="F484">
        <v>5215</v>
      </c>
      <c r="G484" s="1">
        <v>44447</v>
      </c>
      <c r="I484">
        <v>6</v>
      </c>
      <c r="J484" t="s">
        <v>21</v>
      </c>
      <c r="K484" t="s">
        <v>30</v>
      </c>
      <c r="L484" t="s">
        <v>23</v>
      </c>
    </row>
    <row r="485" spans="1:12" x14ac:dyDescent="0.35">
      <c r="A485">
        <v>484</v>
      </c>
      <c r="B485" t="s">
        <v>508</v>
      </c>
      <c r="C485">
        <v>43</v>
      </c>
      <c r="D485" t="s">
        <v>13</v>
      </c>
      <c r="E485" t="s">
        <v>27</v>
      </c>
      <c r="F485">
        <v>3929</v>
      </c>
      <c r="G485" s="1">
        <v>42792</v>
      </c>
      <c r="H485">
        <v>1</v>
      </c>
      <c r="I485">
        <v>17</v>
      </c>
      <c r="J485" t="s">
        <v>15</v>
      </c>
      <c r="K485" t="s">
        <v>30</v>
      </c>
      <c r="L485" t="s">
        <v>23</v>
      </c>
    </row>
    <row r="486" spans="1:12" x14ac:dyDescent="0.35">
      <c r="A486">
        <v>485</v>
      </c>
      <c r="B486" t="s">
        <v>509</v>
      </c>
      <c r="C486">
        <v>27</v>
      </c>
      <c r="D486" t="s">
        <v>35</v>
      </c>
      <c r="E486" t="s">
        <v>27</v>
      </c>
      <c r="F486">
        <v>6050</v>
      </c>
      <c r="G486" s="1">
        <v>43044</v>
      </c>
      <c r="H486">
        <v>5</v>
      </c>
      <c r="I486">
        <v>15</v>
      </c>
      <c r="J486" t="s">
        <v>15</v>
      </c>
      <c r="K486" t="s">
        <v>30</v>
      </c>
      <c r="L486" t="s">
        <v>17</v>
      </c>
    </row>
    <row r="487" spans="1:12" x14ac:dyDescent="0.35">
      <c r="A487">
        <v>486</v>
      </c>
      <c r="B487" t="s">
        <v>510</v>
      </c>
      <c r="C487">
        <v>64</v>
      </c>
      <c r="D487" t="s">
        <v>35</v>
      </c>
      <c r="E487" t="s">
        <v>27</v>
      </c>
      <c r="F487">
        <v>8514</v>
      </c>
      <c r="G487" s="1">
        <v>44337</v>
      </c>
      <c r="H487">
        <v>2</v>
      </c>
      <c r="I487">
        <v>8</v>
      </c>
      <c r="J487" t="s">
        <v>15</v>
      </c>
      <c r="K487" t="s">
        <v>16</v>
      </c>
      <c r="L487" t="s">
        <v>25</v>
      </c>
    </row>
    <row r="488" spans="1:12" x14ac:dyDescent="0.35">
      <c r="A488">
        <v>487</v>
      </c>
      <c r="B488" t="s">
        <v>511</v>
      </c>
      <c r="C488">
        <v>44</v>
      </c>
      <c r="D488" t="s">
        <v>13</v>
      </c>
      <c r="E488" t="s">
        <v>20</v>
      </c>
      <c r="F488">
        <v>6034</v>
      </c>
      <c r="G488" s="1">
        <v>43978</v>
      </c>
      <c r="I488">
        <v>9</v>
      </c>
      <c r="J488" t="s">
        <v>21</v>
      </c>
      <c r="K488" t="s">
        <v>16</v>
      </c>
      <c r="L488" t="s">
        <v>17</v>
      </c>
    </row>
    <row r="489" spans="1:12" x14ac:dyDescent="0.35">
      <c r="A489">
        <v>488</v>
      </c>
      <c r="B489" t="s">
        <v>512</v>
      </c>
      <c r="C489">
        <v>36</v>
      </c>
      <c r="D489" t="s">
        <v>35</v>
      </c>
      <c r="E489" t="s">
        <v>14</v>
      </c>
      <c r="F489">
        <v>5608</v>
      </c>
      <c r="G489" s="1">
        <v>44003</v>
      </c>
      <c r="H489">
        <v>1</v>
      </c>
      <c r="I489">
        <v>9</v>
      </c>
      <c r="J489" t="s">
        <v>21</v>
      </c>
      <c r="K489" t="s">
        <v>16</v>
      </c>
      <c r="L489" t="s">
        <v>23</v>
      </c>
    </row>
    <row r="490" spans="1:12" x14ac:dyDescent="0.35">
      <c r="A490">
        <v>489</v>
      </c>
      <c r="B490" t="s">
        <v>513</v>
      </c>
      <c r="C490">
        <v>26</v>
      </c>
      <c r="D490" t="s">
        <v>35</v>
      </c>
      <c r="E490" t="s">
        <v>27</v>
      </c>
      <c r="F490">
        <v>5993</v>
      </c>
      <c r="G490" s="1">
        <v>45534</v>
      </c>
      <c r="H490">
        <v>2</v>
      </c>
      <c r="I490">
        <v>17</v>
      </c>
      <c r="J490" t="s">
        <v>21</v>
      </c>
      <c r="K490" t="s">
        <v>16</v>
      </c>
      <c r="L490" t="s">
        <v>25</v>
      </c>
    </row>
    <row r="491" spans="1:12" x14ac:dyDescent="0.35">
      <c r="A491">
        <v>490</v>
      </c>
      <c r="B491" t="s">
        <v>514</v>
      </c>
      <c r="C491">
        <v>55</v>
      </c>
      <c r="D491" t="s">
        <v>19</v>
      </c>
      <c r="E491" t="s">
        <v>20</v>
      </c>
      <c r="F491">
        <v>5001</v>
      </c>
      <c r="G491" s="1">
        <v>42681</v>
      </c>
      <c r="H491">
        <v>4</v>
      </c>
      <c r="I491">
        <v>7</v>
      </c>
      <c r="J491" t="s">
        <v>15</v>
      </c>
      <c r="K491" t="s">
        <v>30</v>
      </c>
      <c r="L491" t="s">
        <v>23</v>
      </c>
    </row>
    <row r="492" spans="1:12" x14ac:dyDescent="0.35">
      <c r="A492">
        <v>491</v>
      </c>
      <c r="B492" t="s">
        <v>515</v>
      </c>
      <c r="C492">
        <v>22</v>
      </c>
      <c r="D492" t="s">
        <v>19</v>
      </c>
      <c r="E492" t="s">
        <v>20</v>
      </c>
      <c r="F492">
        <v>5217</v>
      </c>
      <c r="G492" s="1">
        <v>43602</v>
      </c>
      <c r="I492">
        <v>12</v>
      </c>
      <c r="J492" t="s">
        <v>15</v>
      </c>
      <c r="K492" t="s">
        <v>30</v>
      </c>
      <c r="L492" t="s">
        <v>23</v>
      </c>
    </row>
    <row r="493" spans="1:12" x14ac:dyDescent="0.35">
      <c r="A493">
        <v>492</v>
      </c>
      <c r="B493" t="s">
        <v>516</v>
      </c>
      <c r="C493">
        <v>53</v>
      </c>
      <c r="D493" t="s">
        <v>19</v>
      </c>
      <c r="E493" t="s">
        <v>20</v>
      </c>
      <c r="F493">
        <v>9181</v>
      </c>
      <c r="G493" s="1">
        <v>45339</v>
      </c>
      <c r="H493">
        <v>5</v>
      </c>
      <c r="I493">
        <v>1</v>
      </c>
      <c r="J493" t="s">
        <v>21</v>
      </c>
      <c r="K493" t="s">
        <v>22</v>
      </c>
      <c r="L493" t="s">
        <v>25</v>
      </c>
    </row>
    <row r="494" spans="1:12" x14ac:dyDescent="0.35">
      <c r="A494">
        <v>493</v>
      </c>
      <c r="B494" t="s">
        <v>517</v>
      </c>
      <c r="C494">
        <v>42</v>
      </c>
      <c r="D494" t="s">
        <v>19</v>
      </c>
      <c r="E494" t="s">
        <v>14</v>
      </c>
      <c r="F494">
        <v>2106</v>
      </c>
      <c r="G494" s="1">
        <v>42776</v>
      </c>
      <c r="H494">
        <v>2</v>
      </c>
      <c r="I494">
        <v>9</v>
      </c>
      <c r="J494" t="s">
        <v>15</v>
      </c>
      <c r="K494" t="s">
        <v>30</v>
      </c>
      <c r="L494" t="s">
        <v>17</v>
      </c>
    </row>
    <row r="495" spans="1:12" x14ac:dyDescent="0.35">
      <c r="A495">
        <v>494</v>
      </c>
      <c r="B495" t="s">
        <v>518</v>
      </c>
      <c r="C495">
        <v>23</v>
      </c>
      <c r="D495" t="s">
        <v>13</v>
      </c>
      <c r="E495" t="s">
        <v>14</v>
      </c>
      <c r="F495">
        <v>6730</v>
      </c>
      <c r="G495" s="1">
        <v>45424</v>
      </c>
      <c r="I495">
        <v>18</v>
      </c>
      <c r="J495" t="s">
        <v>21</v>
      </c>
      <c r="K495" t="s">
        <v>16</v>
      </c>
      <c r="L495" t="s">
        <v>17</v>
      </c>
    </row>
    <row r="496" spans="1:12" x14ac:dyDescent="0.35">
      <c r="A496">
        <v>495</v>
      </c>
      <c r="B496" t="s">
        <v>519</v>
      </c>
      <c r="C496">
        <v>51</v>
      </c>
      <c r="D496" t="s">
        <v>13</v>
      </c>
      <c r="E496" t="s">
        <v>14</v>
      </c>
      <c r="F496">
        <v>2700</v>
      </c>
      <c r="G496" s="1">
        <v>43438</v>
      </c>
      <c r="I496">
        <v>12</v>
      </c>
      <c r="J496" t="s">
        <v>21</v>
      </c>
      <c r="K496" t="s">
        <v>30</v>
      </c>
      <c r="L496" t="s">
        <v>25</v>
      </c>
    </row>
    <row r="497" spans="1:12" x14ac:dyDescent="0.35">
      <c r="A497">
        <v>496</v>
      </c>
      <c r="B497" t="s">
        <v>520</v>
      </c>
      <c r="C497">
        <v>50</v>
      </c>
      <c r="D497" t="s">
        <v>19</v>
      </c>
      <c r="E497" t="s">
        <v>20</v>
      </c>
      <c r="F497">
        <v>8594</v>
      </c>
      <c r="G497" s="1">
        <v>44499</v>
      </c>
      <c r="H497">
        <v>5</v>
      </c>
      <c r="I497">
        <v>9</v>
      </c>
      <c r="J497" t="s">
        <v>21</v>
      </c>
      <c r="K497" t="s">
        <v>30</v>
      </c>
      <c r="L497" t="s">
        <v>17</v>
      </c>
    </row>
    <row r="498" spans="1:12" x14ac:dyDescent="0.35">
      <c r="A498">
        <v>497</v>
      </c>
      <c r="B498" t="s">
        <v>521</v>
      </c>
      <c r="C498">
        <v>30</v>
      </c>
      <c r="D498" t="s">
        <v>19</v>
      </c>
      <c r="E498" t="s">
        <v>20</v>
      </c>
      <c r="F498">
        <v>3558</v>
      </c>
      <c r="G498" s="1">
        <v>44120</v>
      </c>
      <c r="I498">
        <v>18</v>
      </c>
      <c r="J498" t="s">
        <v>21</v>
      </c>
      <c r="K498" t="s">
        <v>16</v>
      </c>
      <c r="L498" t="s">
        <v>17</v>
      </c>
    </row>
    <row r="499" spans="1:12" x14ac:dyDescent="0.35">
      <c r="A499">
        <v>498</v>
      </c>
      <c r="B499" t="s">
        <v>522</v>
      </c>
      <c r="C499">
        <v>52</v>
      </c>
      <c r="D499" t="s">
        <v>35</v>
      </c>
      <c r="E499" t="s">
        <v>27</v>
      </c>
      <c r="F499">
        <v>7471</v>
      </c>
      <c r="G499" s="1">
        <v>44999</v>
      </c>
      <c r="I499">
        <v>9</v>
      </c>
      <c r="J499" t="s">
        <v>21</v>
      </c>
      <c r="K499" t="s">
        <v>16</v>
      </c>
      <c r="L499" t="s">
        <v>23</v>
      </c>
    </row>
    <row r="500" spans="1:12" x14ac:dyDescent="0.35">
      <c r="A500">
        <v>499</v>
      </c>
      <c r="B500" t="s">
        <v>523</v>
      </c>
      <c r="C500">
        <v>62</v>
      </c>
      <c r="D500" t="s">
        <v>19</v>
      </c>
      <c r="E500" t="s">
        <v>27</v>
      </c>
      <c r="F500">
        <v>6359</v>
      </c>
      <c r="G500" s="1">
        <v>44208</v>
      </c>
      <c r="H500">
        <v>2</v>
      </c>
      <c r="I500">
        <v>15</v>
      </c>
      <c r="J500" t="s">
        <v>15</v>
      </c>
      <c r="K500" t="s">
        <v>22</v>
      </c>
      <c r="L500" t="s">
        <v>23</v>
      </c>
    </row>
    <row r="501" spans="1:12" x14ac:dyDescent="0.35">
      <c r="A501">
        <v>500</v>
      </c>
      <c r="B501" t="s">
        <v>524</v>
      </c>
      <c r="C501">
        <v>62</v>
      </c>
      <c r="D501" t="s">
        <v>35</v>
      </c>
      <c r="E501" t="s">
        <v>27</v>
      </c>
      <c r="F501">
        <v>9773</v>
      </c>
      <c r="G501" s="1">
        <v>43731</v>
      </c>
      <c r="I501">
        <v>19</v>
      </c>
      <c r="J501" t="s">
        <v>21</v>
      </c>
      <c r="K501" t="s">
        <v>22</v>
      </c>
      <c r="L501" t="s">
        <v>17</v>
      </c>
    </row>
    <row r="502" spans="1:12" x14ac:dyDescent="0.35">
      <c r="A502">
        <v>501</v>
      </c>
      <c r="B502" t="s">
        <v>525</v>
      </c>
      <c r="C502">
        <v>22</v>
      </c>
      <c r="D502" t="s">
        <v>35</v>
      </c>
      <c r="E502" t="s">
        <v>14</v>
      </c>
      <c r="F502">
        <v>6558</v>
      </c>
      <c r="G502" s="1">
        <v>44499</v>
      </c>
      <c r="H502">
        <v>1</v>
      </c>
      <c r="I502">
        <v>14</v>
      </c>
      <c r="J502" t="s">
        <v>15</v>
      </c>
      <c r="K502" t="s">
        <v>30</v>
      </c>
      <c r="L502" t="s">
        <v>17</v>
      </c>
    </row>
    <row r="503" spans="1:12" x14ac:dyDescent="0.35">
      <c r="A503">
        <v>502</v>
      </c>
      <c r="B503" t="s">
        <v>526</v>
      </c>
      <c r="C503">
        <v>32</v>
      </c>
      <c r="D503" t="s">
        <v>35</v>
      </c>
      <c r="E503" t="s">
        <v>20</v>
      </c>
      <c r="F503">
        <v>7401</v>
      </c>
      <c r="G503" s="1">
        <v>44040</v>
      </c>
      <c r="H503">
        <v>0</v>
      </c>
      <c r="I503">
        <v>8</v>
      </c>
      <c r="J503" t="s">
        <v>15</v>
      </c>
      <c r="K503" t="s">
        <v>22</v>
      </c>
      <c r="L503" t="s">
        <v>23</v>
      </c>
    </row>
    <row r="504" spans="1:12" x14ac:dyDescent="0.35">
      <c r="A504">
        <v>503</v>
      </c>
      <c r="B504" t="s">
        <v>527</v>
      </c>
      <c r="C504">
        <v>28</v>
      </c>
      <c r="D504" t="s">
        <v>13</v>
      </c>
      <c r="E504" t="s">
        <v>27</v>
      </c>
      <c r="F504">
        <v>8308</v>
      </c>
      <c r="G504" s="1">
        <v>43394</v>
      </c>
      <c r="H504">
        <v>5</v>
      </c>
      <c r="I504">
        <v>18</v>
      </c>
      <c r="J504" t="s">
        <v>15</v>
      </c>
      <c r="K504" t="s">
        <v>22</v>
      </c>
      <c r="L504" t="s">
        <v>17</v>
      </c>
    </row>
    <row r="505" spans="1:12" x14ac:dyDescent="0.35">
      <c r="A505">
        <v>504</v>
      </c>
      <c r="B505" t="s">
        <v>528</v>
      </c>
      <c r="C505">
        <v>25</v>
      </c>
      <c r="D505" t="s">
        <v>35</v>
      </c>
      <c r="E505" t="s">
        <v>20</v>
      </c>
      <c r="F505">
        <v>2712</v>
      </c>
      <c r="G505" s="1">
        <v>42518</v>
      </c>
      <c r="H505">
        <v>0</v>
      </c>
      <c r="I505">
        <v>10</v>
      </c>
      <c r="J505" t="s">
        <v>15</v>
      </c>
      <c r="K505" t="s">
        <v>30</v>
      </c>
      <c r="L505" t="s">
        <v>25</v>
      </c>
    </row>
    <row r="506" spans="1:12" x14ac:dyDescent="0.35">
      <c r="A506">
        <v>505</v>
      </c>
      <c r="B506" t="s">
        <v>529</v>
      </c>
      <c r="C506">
        <v>64</v>
      </c>
      <c r="D506" t="s">
        <v>35</v>
      </c>
      <c r="E506" t="s">
        <v>14</v>
      </c>
      <c r="F506">
        <v>3934</v>
      </c>
      <c r="G506" s="1">
        <v>44751</v>
      </c>
      <c r="H506">
        <v>5</v>
      </c>
      <c r="I506">
        <v>20</v>
      </c>
      <c r="J506" t="s">
        <v>21</v>
      </c>
      <c r="K506" t="s">
        <v>22</v>
      </c>
      <c r="L506" t="s">
        <v>17</v>
      </c>
    </row>
    <row r="507" spans="1:12" x14ac:dyDescent="0.35">
      <c r="A507">
        <v>506</v>
      </c>
      <c r="B507" t="s">
        <v>530</v>
      </c>
      <c r="C507">
        <v>50</v>
      </c>
      <c r="D507" t="s">
        <v>13</v>
      </c>
      <c r="E507" t="s">
        <v>14</v>
      </c>
      <c r="F507">
        <v>3135</v>
      </c>
      <c r="G507" s="1">
        <v>43910</v>
      </c>
      <c r="I507">
        <v>17</v>
      </c>
      <c r="J507" t="s">
        <v>21</v>
      </c>
      <c r="K507" t="s">
        <v>22</v>
      </c>
      <c r="L507" t="s">
        <v>17</v>
      </c>
    </row>
    <row r="508" spans="1:12" x14ac:dyDescent="0.35">
      <c r="A508">
        <v>507</v>
      </c>
      <c r="B508" t="s">
        <v>531</v>
      </c>
      <c r="C508">
        <v>62</v>
      </c>
      <c r="D508" t="s">
        <v>19</v>
      </c>
      <c r="E508" t="s">
        <v>27</v>
      </c>
      <c r="F508">
        <v>3980</v>
      </c>
      <c r="G508" s="1">
        <v>45300</v>
      </c>
      <c r="I508">
        <v>9</v>
      </c>
      <c r="J508" t="s">
        <v>15</v>
      </c>
      <c r="K508" t="s">
        <v>16</v>
      </c>
      <c r="L508" t="s">
        <v>25</v>
      </c>
    </row>
    <row r="509" spans="1:12" x14ac:dyDescent="0.35">
      <c r="A509">
        <v>508</v>
      </c>
      <c r="B509" t="s">
        <v>532</v>
      </c>
      <c r="C509">
        <v>35</v>
      </c>
      <c r="D509" t="s">
        <v>35</v>
      </c>
      <c r="E509" t="s">
        <v>14</v>
      </c>
      <c r="F509">
        <v>8602</v>
      </c>
      <c r="G509" s="1">
        <v>43403</v>
      </c>
      <c r="H509">
        <v>2</v>
      </c>
      <c r="I509">
        <v>17</v>
      </c>
      <c r="J509" t="s">
        <v>21</v>
      </c>
      <c r="K509" t="s">
        <v>16</v>
      </c>
      <c r="L509" t="s">
        <v>25</v>
      </c>
    </row>
    <row r="510" spans="1:12" x14ac:dyDescent="0.35">
      <c r="A510">
        <v>509</v>
      </c>
      <c r="B510" t="s">
        <v>533</v>
      </c>
      <c r="C510">
        <v>32</v>
      </c>
      <c r="D510" t="s">
        <v>13</v>
      </c>
      <c r="E510" t="s">
        <v>27</v>
      </c>
      <c r="F510">
        <v>3726</v>
      </c>
      <c r="G510" s="1">
        <v>44480</v>
      </c>
      <c r="H510">
        <v>0</v>
      </c>
      <c r="I510">
        <v>4</v>
      </c>
      <c r="J510" t="s">
        <v>15</v>
      </c>
      <c r="K510" t="s">
        <v>30</v>
      </c>
      <c r="L510" t="s">
        <v>17</v>
      </c>
    </row>
    <row r="511" spans="1:12" x14ac:dyDescent="0.35">
      <c r="A511">
        <v>510</v>
      </c>
      <c r="B511" t="s">
        <v>534</v>
      </c>
      <c r="C511">
        <v>62</v>
      </c>
      <c r="D511" t="s">
        <v>13</v>
      </c>
      <c r="E511" t="s">
        <v>14</v>
      </c>
      <c r="F511">
        <v>3278</v>
      </c>
      <c r="G511" s="1">
        <v>44437</v>
      </c>
      <c r="H511">
        <v>5</v>
      </c>
      <c r="I511">
        <v>10</v>
      </c>
      <c r="J511" t="s">
        <v>21</v>
      </c>
      <c r="K511" t="s">
        <v>22</v>
      </c>
      <c r="L511" t="s">
        <v>23</v>
      </c>
    </row>
    <row r="512" spans="1:12" x14ac:dyDescent="0.35">
      <c r="A512">
        <v>511</v>
      </c>
      <c r="B512" t="s">
        <v>535</v>
      </c>
      <c r="C512">
        <v>24</v>
      </c>
      <c r="D512" t="s">
        <v>13</v>
      </c>
      <c r="E512" t="s">
        <v>27</v>
      </c>
      <c r="F512">
        <v>5716</v>
      </c>
      <c r="G512" s="1">
        <v>43812</v>
      </c>
      <c r="H512">
        <v>5</v>
      </c>
      <c r="I512">
        <v>15</v>
      </c>
      <c r="J512" t="s">
        <v>15</v>
      </c>
      <c r="K512" t="s">
        <v>30</v>
      </c>
      <c r="L512" t="s">
        <v>17</v>
      </c>
    </row>
    <row r="513" spans="1:12" x14ac:dyDescent="0.35">
      <c r="A513">
        <v>512</v>
      </c>
      <c r="B513" t="s">
        <v>536</v>
      </c>
      <c r="C513">
        <v>56</v>
      </c>
      <c r="D513" t="s">
        <v>35</v>
      </c>
      <c r="E513" t="s">
        <v>14</v>
      </c>
      <c r="F513">
        <v>7339</v>
      </c>
      <c r="G513" s="1">
        <v>44932</v>
      </c>
      <c r="H513">
        <v>0</v>
      </c>
      <c r="I513">
        <v>1</v>
      </c>
      <c r="J513" t="s">
        <v>15</v>
      </c>
      <c r="K513" t="s">
        <v>16</v>
      </c>
      <c r="L513" t="s">
        <v>23</v>
      </c>
    </row>
    <row r="514" spans="1:12" x14ac:dyDescent="0.35">
      <c r="A514">
        <v>513</v>
      </c>
      <c r="B514" t="s">
        <v>537</v>
      </c>
      <c r="C514">
        <v>41</v>
      </c>
      <c r="D514" t="s">
        <v>35</v>
      </c>
      <c r="E514" t="s">
        <v>14</v>
      </c>
      <c r="F514">
        <v>3067</v>
      </c>
      <c r="G514" s="1">
        <v>45266</v>
      </c>
      <c r="H514">
        <v>2</v>
      </c>
      <c r="I514">
        <v>19</v>
      </c>
      <c r="J514" t="s">
        <v>15</v>
      </c>
      <c r="K514" t="s">
        <v>22</v>
      </c>
      <c r="L514" t="s">
        <v>23</v>
      </c>
    </row>
    <row r="515" spans="1:12" x14ac:dyDescent="0.35">
      <c r="A515">
        <v>514</v>
      </c>
      <c r="B515" t="s">
        <v>538</v>
      </c>
      <c r="C515">
        <v>59</v>
      </c>
      <c r="D515" t="s">
        <v>19</v>
      </c>
      <c r="E515" t="s">
        <v>14</v>
      </c>
      <c r="F515">
        <v>8297</v>
      </c>
      <c r="G515" s="1">
        <v>42290</v>
      </c>
      <c r="H515">
        <v>4</v>
      </c>
      <c r="I515">
        <v>1</v>
      </c>
      <c r="J515" t="s">
        <v>21</v>
      </c>
      <c r="K515" t="s">
        <v>22</v>
      </c>
      <c r="L515" t="s">
        <v>25</v>
      </c>
    </row>
    <row r="516" spans="1:12" x14ac:dyDescent="0.35">
      <c r="A516">
        <v>515</v>
      </c>
      <c r="B516" t="s">
        <v>539</v>
      </c>
      <c r="C516">
        <v>48</v>
      </c>
      <c r="D516" t="s">
        <v>35</v>
      </c>
      <c r="E516" t="s">
        <v>14</v>
      </c>
      <c r="F516">
        <v>9293</v>
      </c>
      <c r="G516" s="1">
        <v>42073</v>
      </c>
      <c r="I516">
        <v>17</v>
      </c>
      <c r="J516" t="s">
        <v>21</v>
      </c>
      <c r="K516" t="s">
        <v>30</v>
      </c>
      <c r="L516" t="s">
        <v>17</v>
      </c>
    </row>
    <row r="517" spans="1:12" x14ac:dyDescent="0.35">
      <c r="A517">
        <v>516</v>
      </c>
      <c r="B517" t="s">
        <v>540</v>
      </c>
      <c r="C517">
        <v>42</v>
      </c>
      <c r="D517" t="s">
        <v>13</v>
      </c>
      <c r="E517" t="s">
        <v>27</v>
      </c>
      <c r="F517">
        <v>4243</v>
      </c>
      <c r="G517" s="1">
        <v>45070</v>
      </c>
      <c r="H517">
        <v>3</v>
      </c>
      <c r="I517">
        <v>2</v>
      </c>
      <c r="J517" t="s">
        <v>15</v>
      </c>
      <c r="K517" t="s">
        <v>22</v>
      </c>
      <c r="L517" t="s">
        <v>23</v>
      </c>
    </row>
    <row r="518" spans="1:12" x14ac:dyDescent="0.35">
      <c r="A518">
        <v>517</v>
      </c>
      <c r="B518" t="s">
        <v>541</v>
      </c>
      <c r="C518">
        <v>35</v>
      </c>
      <c r="D518" t="s">
        <v>13</v>
      </c>
      <c r="E518" t="s">
        <v>20</v>
      </c>
      <c r="F518">
        <v>9630</v>
      </c>
      <c r="G518" s="1">
        <v>43284</v>
      </c>
      <c r="H518">
        <v>0</v>
      </c>
      <c r="I518">
        <v>1</v>
      </c>
      <c r="J518" t="s">
        <v>15</v>
      </c>
      <c r="K518" t="s">
        <v>22</v>
      </c>
      <c r="L518" t="s">
        <v>17</v>
      </c>
    </row>
    <row r="519" spans="1:12" x14ac:dyDescent="0.35">
      <c r="A519">
        <v>518</v>
      </c>
      <c r="B519" t="s">
        <v>542</v>
      </c>
      <c r="C519">
        <v>37</v>
      </c>
      <c r="D519" t="s">
        <v>19</v>
      </c>
      <c r="E519" t="s">
        <v>27</v>
      </c>
      <c r="F519">
        <v>9844</v>
      </c>
      <c r="G519" s="1">
        <v>44163</v>
      </c>
      <c r="I519">
        <v>4</v>
      </c>
      <c r="J519" t="s">
        <v>15</v>
      </c>
      <c r="K519" t="s">
        <v>22</v>
      </c>
      <c r="L519" t="s">
        <v>25</v>
      </c>
    </row>
    <row r="520" spans="1:12" x14ac:dyDescent="0.35">
      <c r="A520">
        <v>519</v>
      </c>
      <c r="B520" t="s">
        <v>543</v>
      </c>
      <c r="C520">
        <v>46</v>
      </c>
      <c r="D520" t="s">
        <v>13</v>
      </c>
      <c r="E520" t="s">
        <v>14</v>
      </c>
      <c r="F520">
        <v>6688</v>
      </c>
      <c r="G520" s="1">
        <v>43591</v>
      </c>
      <c r="H520">
        <v>0</v>
      </c>
      <c r="I520">
        <v>16</v>
      </c>
      <c r="J520" t="s">
        <v>15</v>
      </c>
      <c r="K520" t="s">
        <v>16</v>
      </c>
      <c r="L520" t="s">
        <v>17</v>
      </c>
    </row>
    <row r="521" spans="1:12" x14ac:dyDescent="0.35">
      <c r="A521">
        <v>520</v>
      </c>
      <c r="B521" t="s">
        <v>544</v>
      </c>
      <c r="C521">
        <v>60</v>
      </c>
      <c r="D521" t="s">
        <v>35</v>
      </c>
      <c r="E521" t="s">
        <v>20</v>
      </c>
      <c r="F521">
        <v>2949</v>
      </c>
      <c r="G521" s="1">
        <v>42320</v>
      </c>
      <c r="H521">
        <v>2</v>
      </c>
      <c r="I521">
        <v>18</v>
      </c>
      <c r="J521" t="s">
        <v>21</v>
      </c>
      <c r="K521" t="s">
        <v>30</v>
      </c>
      <c r="L521" t="s">
        <v>25</v>
      </c>
    </row>
    <row r="522" spans="1:12" x14ac:dyDescent="0.35">
      <c r="A522">
        <v>521</v>
      </c>
      <c r="B522" t="s">
        <v>545</v>
      </c>
      <c r="C522">
        <v>44</v>
      </c>
      <c r="D522" t="s">
        <v>19</v>
      </c>
      <c r="E522" t="s">
        <v>14</v>
      </c>
      <c r="F522">
        <v>2246</v>
      </c>
      <c r="G522" s="1">
        <v>42492</v>
      </c>
      <c r="H522">
        <v>2</v>
      </c>
      <c r="I522">
        <v>6</v>
      </c>
      <c r="J522" t="s">
        <v>21</v>
      </c>
      <c r="K522" t="s">
        <v>16</v>
      </c>
      <c r="L522" t="s">
        <v>23</v>
      </c>
    </row>
    <row r="523" spans="1:12" x14ac:dyDescent="0.35">
      <c r="A523">
        <v>522</v>
      </c>
      <c r="B523" t="s">
        <v>546</v>
      </c>
      <c r="C523">
        <v>18</v>
      </c>
      <c r="D523" t="s">
        <v>13</v>
      </c>
      <c r="E523" t="s">
        <v>14</v>
      </c>
      <c r="F523">
        <v>2302</v>
      </c>
      <c r="G523" s="1">
        <v>45299</v>
      </c>
      <c r="H523">
        <v>0</v>
      </c>
      <c r="I523">
        <v>6</v>
      </c>
      <c r="J523" t="s">
        <v>15</v>
      </c>
      <c r="K523" t="s">
        <v>16</v>
      </c>
      <c r="L523" t="s">
        <v>17</v>
      </c>
    </row>
    <row r="524" spans="1:12" x14ac:dyDescent="0.35">
      <c r="A524">
        <v>523</v>
      </c>
      <c r="B524" t="s">
        <v>547</v>
      </c>
      <c r="C524">
        <v>37</v>
      </c>
      <c r="D524" t="s">
        <v>35</v>
      </c>
      <c r="E524" t="s">
        <v>27</v>
      </c>
      <c r="F524">
        <v>8961</v>
      </c>
      <c r="G524" s="1">
        <v>44078</v>
      </c>
      <c r="H524">
        <v>1</v>
      </c>
      <c r="I524">
        <v>1</v>
      </c>
      <c r="J524" t="s">
        <v>21</v>
      </c>
      <c r="K524" t="s">
        <v>30</v>
      </c>
      <c r="L524" t="s">
        <v>23</v>
      </c>
    </row>
    <row r="525" spans="1:12" x14ac:dyDescent="0.35">
      <c r="A525">
        <v>524</v>
      </c>
      <c r="B525" t="s">
        <v>548</v>
      </c>
      <c r="C525">
        <v>36</v>
      </c>
      <c r="D525" t="s">
        <v>13</v>
      </c>
      <c r="E525" t="s">
        <v>20</v>
      </c>
      <c r="F525">
        <v>3619</v>
      </c>
      <c r="G525" s="1">
        <v>44355</v>
      </c>
      <c r="H525">
        <v>3</v>
      </c>
      <c r="I525">
        <v>7</v>
      </c>
      <c r="J525" t="s">
        <v>21</v>
      </c>
      <c r="K525" t="s">
        <v>16</v>
      </c>
      <c r="L525" t="s">
        <v>23</v>
      </c>
    </row>
    <row r="526" spans="1:12" x14ac:dyDescent="0.35">
      <c r="A526">
        <v>525</v>
      </c>
      <c r="B526" t="s">
        <v>549</v>
      </c>
      <c r="C526">
        <v>19</v>
      </c>
      <c r="D526" t="s">
        <v>19</v>
      </c>
      <c r="E526" t="s">
        <v>14</v>
      </c>
      <c r="F526">
        <v>8100</v>
      </c>
      <c r="G526" s="1">
        <v>43502</v>
      </c>
      <c r="H526">
        <v>1</v>
      </c>
      <c r="I526">
        <v>4</v>
      </c>
      <c r="J526" t="s">
        <v>15</v>
      </c>
      <c r="K526" t="s">
        <v>30</v>
      </c>
      <c r="L526" t="s">
        <v>17</v>
      </c>
    </row>
    <row r="527" spans="1:12" x14ac:dyDescent="0.35">
      <c r="A527">
        <v>526</v>
      </c>
      <c r="B527" t="s">
        <v>550</v>
      </c>
      <c r="C527">
        <v>55</v>
      </c>
      <c r="D527" t="s">
        <v>35</v>
      </c>
      <c r="E527" t="s">
        <v>27</v>
      </c>
      <c r="F527">
        <v>3072</v>
      </c>
      <c r="G527" s="1">
        <v>44799</v>
      </c>
      <c r="I527">
        <v>16</v>
      </c>
      <c r="J527" t="s">
        <v>21</v>
      </c>
      <c r="K527" t="s">
        <v>16</v>
      </c>
      <c r="L527" t="s">
        <v>17</v>
      </c>
    </row>
    <row r="528" spans="1:12" x14ac:dyDescent="0.35">
      <c r="A528">
        <v>527</v>
      </c>
      <c r="B528" t="s">
        <v>551</v>
      </c>
      <c r="C528">
        <v>55</v>
      </c>
      <c r="D528" t="s">
        <v>35</v>
      </c>
      <c r="E528" t="s">
        <v>27</v>
      </c>
      <c r="F528">
        <v>2247</v>
      </c>
      <c r="G528" s="1">
        <v>43149</v>
      </c>
      <c r="H528">
        <v>4</v>
      </c>
      <c r="I528">
        <v>19</v>
      </c>
      <c r="J528" t="s">
        <v>21</v>
      </c>
      <c r="K528" t="s">
        <v>16</v>
      </c>
      <c r="L528" t="s">
        <v>25</v>
      </c>
    </row>
    <row r="529" spans="1:12" x14ac:dyDescent="0.35">
      <c r="A529">
        <v>528</v>
      </c>
      <c r="B529" t="s">
        <v>552</v>
      </c>
      <c r="C529">
        <v>18</v>
      </c>
      <c r="D529" t="s">
        <v>35</v>
      </c>
      <c r="E529" t="s">
        <v>20</v>
      </c>
      <c r="F529">
        <v>4941</v>
      </c>
      <c r="G529" s="1">
        <v>44906</v>
      </c>
      <c r="H529">
        <v>5</v>
      </c>
      <c r="I529">
        <v>19</v>
      </c>
      <c r="J529" t="s">
        <v>15</v>
      </c>
      <c r="K529" t="s">
        <v>22</v>
      </c>
      <c r="L529" t="s">
        <v>25</v>
      </c>
    </row>
    <row r="530" spans="1:12" x14ac:dyDescent="0.35">
      <c r="A530">
        <v>529</v>
      </c>
      <c r="B530" t="s">
        <v>553</v>
      </c>
      <c r="C530">
        <v>44</v>
      </c>
      <c r="D530" t="s">
        <v>35</v>
      </c>
      <c r="E530" t="s">
        <v>20</v>
      </c>
      <c r="F530">
        <v>6936</v>
      </c>
      <c r="G530" s="1">
        <v>42694</v>
      </c>
      <c r="H530">
        <v>2</v>
      </c>
      <c r="I530">
        <v>2</v>
      </c>
      <c r="J530" t="s">
        <v>15</v>
      </c>
      <c r="K530" t="s">
        <v>30</v>
      </c>
      <c r="L530" t="s">
        <v>23</v>
      </c>
    </row>
    <row r="531" spans="1:12" x14ac:dyDescent="0.35">
      <c r="A531">
        <v>530</v>
      </c>
      <c r="B531" t="s">
        <v>554</v>
      </c>
      <c r="C531">
        <v>40</v>
      </c>
      <c r="D531" t="s">
        <v>13</v>
      </c>
      <c r="E531" t="s">
        <v>14</v>
      </c>
      <c r="F531">
        <v>7002</v>
      </c>
      <c r="G531" s="1">
        <v>43683</v>
      </c>
      <c r="H531">
        <v>2</v>
      </c>
      <c r="I531">
        <v>20</v>
      </c>
      <c r="J531" t="s">
        <v>15</v>
      </c>
      <c r="K531" t="s">
        <v>22</v>
      </c>
      <c r="L531" t="s">
        <v>17</v>
      </c>
    </row>
    <row r="532" spans="1:12" x14ac:dyDescent="0.35">
      <c r="A532">
        <v>531</v>
      </c>
      <c r="B532" t="s">
        <v>555</v>
      </c>
      <c r="C532">
        <v>32</v>
      </c>
      <c r="D532" t="s">
        <v>35</v>
      </c>
      <c r="E532" t="s">
        <v>14</v>
      </c>
      <c r="F532">
        <v>2759</v>
      </c>
      <c r="G532" s="1">
        <v>42500</v>
      </c>
      <c r="H532">
        <v>5</v>
      </c>
      <c r="I532">
        <v>7</v>
      </c>
      <c r="J532" t="s">
        <v>21</v>
      </c>
      <c r="K532" t="s">
        <v>22</v>
      </c>
      <c r="L532" t="s">
        <v>23</v>
      </c>
    </row>
    <row r="533" spans="1:12" x14ac:dyDescent="0.35">
      <c r="A533">
        <v>532</v>
      </c>
      <c r="B533" t="s">
        <v>556</v>
      </c>
      <c r="C533">
        <v>54</v>
      </c>
      <c r="D533" t="s">
        <v>19</v>
      </c>
      <c r="E533" t="s">
        <v>27</v>
      </c>
      <c r="F533">
        <v>9988</v>
      </c>
      <c r="G533" s="1">
        <v>42346</v>
      </c>
      <c r="I533">
        <v>16</v>
      </c>
      <c r="J533" t="s">
        <v>21</v>
      </c>
      <c r="K533" t="s">
        <v>30</v>
      </c>
      <c r="L533" t="s">
        <v>23</v>
      </c>
    </row>
    <row r="534" spans="1:12" x14ac:dyDescent="0.35">
      <c r="A534">
        <v>533</v>
      </c>
      <c r="B534" t="s">
        <v>557</v>
      </c>
      <c r="C534">
        <v>61</v>
      </c>
      <c r="D534" t="s">
        <v>19</v>
      </c>
      <c r="E534" t="s">
        <v>20</v>
      </c>
      <c r="F534">
        <v>2646</v>
      </c>
      <c r="G534" s="1">
        <v>43549</v>
      </c>
      <c r="I534">
        <v>17</v>
      </c>
      <c r="J534" t="s">
        <v>21</v>
      </c>
      <c r="K534" t="s">
        <v>22</v>
      </c>
      <c r="L534" t="s">
        <v>25</v>
      </c>
    </row>
    <row r="535" spans="1:12" x14ac:dyDescent="0.35">
      <c r="A535">
        <v>534</v>
      </c>
      <c r="B535" t="s">
        <v>558</v>
      </c>
      <c r="C535">
        <v>53</v>
      </c>
      <c r="D535" t="s">
        <v>19</v>
      </c>
      <c r="E535" t="s">
        <v>14</v>
      </c>
      <c r="F535">
        <v>3093</v>
      </c>
      <c r="G535" s="1">
        <v>42666</v>
      </c>
      <c r="H535">
        <v>3</v>
      </c>
      <c r="I535">
        <v>7</v>
      </c>
      <c r="J535" t="s">
        <v>15</v>
      </c>
      <c r="K535" t="s">
        <v>16</v>
      </c>
      <c r="L535" t="s">
        <v>17</v>
      </c>
    </row>
    <row r="536" spans="1:12" x14ac:dyDescent="0.35">
      <c r="A536">
        <v>535</v>
      </c>
      <c r="B536" t="s">
        <v>559</v>
      </c>
      <c r="C536">
        <v>28</v>
      </c>
      <c r="D536" t="s">
        <v>13</v>
      </c>
      <c r="E536" t="s">
        <v>20</v>
      </c>
      <c r="F536">
        <v>4004</v>
      </c>
      <c r="G536" s="1">
        <v>42665</v>
      </c>
      <c r="H536">
        <v>0</v>
      </c>
      <c r="I536">
        <v>10</v>
      </c>
      <c r="J536" t="s">
        <v>15</v>
      </c>
      <c r="K536" t="s">
        <v>30</v>
      </c>
      <c r="L536" t="s">
        <v>25</v>
      </c>
    </row>
    <row r="537" spans="1:12" x14ac:dyDescent="0.35">
      <c r="A537">
        <v>536</v>
      </c>
      <c r="B537" t="s">
        <v>560</v>
      </c>
      <c r="C537">
        <v>30</v>
      </c>
      <c r="D537" t="s">
        <v>35</v>
      </c>
      <c r="E537" t="s">
        <v>14</v>
      </c>
      <c r="F537">
        <v>4615</v>
      </c>
      <c r="G537" s="1">
        <v>44568</v>
      </c>
      <c r="I537">
        <v>11</v>
      </c>
      <c r="J537" t="s">
        <v>21</v>
      </c>
      <c r="K537" t="s">
        <v>22</v>
      </c>
      <c r="L537" t="s">
        <v>23</v>
      </c>
    </row>
    <row r="538" spans="1:12" x14ac:dyDescent="0.35">
      <c r="A538">
        <v>537</v>
      </c>
      <c r="B538" t="s">
        <v>561</v>
      </c>
      <c r="C538">
        <v>31</v>
      </c>
      <c r="D538" t="s">
        <v>13</v>
      </c>
      <c r="E538" t="s">
        <v>20</v>
      </c>
      <c r="F538">
        <v>3299</v>
      </c>
      <c r="G538" s="1">
        <v>43159</v>
      </c>
      <c r="I538">
        <v>10</v>
      </c>
      <c r="J538" t="s">
        <v>21</v>
      </c>
      <c r="K538" t="s">
        <v>16</v>
      </c>
      <c r="L538" t="s">
        <v>17</v>
      </c>
    </row>
    <row r="539" spans="1:12" x14ac:dyDescent="0.35">
      <c r="A539">
        <v>538</v>
      </c>
      <c r="B539" t="s">
        <v>562</v>
      </c>
      <c r="C539">
        <v>20</v>
      </c>
      <c r="D539" t="s">
        <v>35</v>
      </c>
      <c r="E539" t="s">
        <v>27</v>
      </c>
      <c r="F539">
        <v>2492</v>
      </c>
      <c r="G539" s="1">
        <v>42638</v>
      </c>
      <c r="I539">
        <v>3</v>
      </c>
      <c r="J539" t="s">
        <v>21</v>
      </c>
      <c r="K539" t="s">
        <v>22</v>
      </c>
      <c r="L539" t="s">
        <v>25</v>
      </c>
    </row>
    <row r="540" spans="1:12" x14ac:dyDescent="0.35">
      <c r="A540">
        <v>539</v>
      </c>
      <c r="B540" t="s">
        <v>563</v>
      </c>
      <c r="C540">
        <v>38</v>
      </c>
      <c r="D540" t="s">
        <v>35</v>
      </c>
      <c r="E540" t="s">
        <v>14</v>
      </c>
      <c r="F540">
        <v>8388</v>
      </c>
      <c r="G540" s="1">
        <v>44410</v>
      </c>
      <c r="H540">
        <v>1</v>
      </c>
      <c r="I540">
        <v>20</v>
      </c>
      <c r="J540" t="s">
        <v>21</v>
      </c>
      <c r="K540" t="s">
        <v>30</v>
      </c>
      <c r="L540" t="s">
        <v>25</v>
      </c>
    </row>
    <row r="541" spans="1:12" x14ac:dyDescent="0.35">
      <c r="A541">
        <v>540</v>
      </c>
      <c r="B541" t="s">
        <v>564</v>
      </c>
      <c r="C541">
        <v>39</v>
      </c>
      <c r="D541" t="s">
        <v>13</v>
      </c>
      <c r="E541" t="s">
        <v>27</v>
      </c>
      <c r="F541">
        <v>9823</v>
      </c>
      <c r="G541" s="1">
        <v>43557</v>
      </c>
      <c r="H541">
        <v>0</v>
      </c>
      <c r="I541">
        <v>1</v>
      </c>
      <c r="J541" t="s">
        <v>15</v>
      </c>
      <c r="K541" t="s">
        <v>30</v>
      </c>
      <c r="L541" t="s">
        <v>17</v>
      </c>
    </row>
    <row r="542" spans="1:12" x14ac:dyDescent="0.35">
      <c r="A542">
        <v>541</v>
      </c>
      <c r="B542" t="s">
        <v>565</v>
      </c>
      <c r="C542">
        <v>53</v>
      </c>
      <c r="D542" t="s">
        <v>13</v>
      </c>
      <c r="E542" t="s">
        <v>14</v>
      </c>
      <c r="F542">
        <v>6092</v>
      </c>
      <c r="G542" s="1">
        <v>44440</v>
      </c>
      <c r="H542">
        <v>0</v>
      </c>
      <c r="I542">
        <v>16</v>
      </c>
      <c r="J542" t="s">
        <v>15</v>
      </c>
      <c r="K542" t="s">
        <v>16</v>
      </c>
      <c r="L542" t="s">
        <v>23</v>
      </c>
    </row>
    <row r="543" spans="1:12" x14ac:dyDescent="0.35">
      <c r="A543">
        <v>542</v>
      </c>
      <c r="B543" t="s">
        <v>566</v>
      </c>
      <c r="C543">
        <v>46</v>
      </c>
      <c r="D543" t="s">
        <v>13</v>
      </c>
      <c r="E543" t="s">
        <v>20</v>
      </c>
      <c r="F543">
        <v>5594</v>
      </c>
      <c r="G543" s="1">
        <v>42618</v>
      </c>
      <c r="H543">
        <v>0</v>
      </c>
      <c r="I543">
        <v>3</v>
      </c>
      <c r="J543" t="s">
        <v>15</v>
      </c>
      <c r="K543" t="s">
        <v>30</v>
      </c>
      <c r="L543" t="s">
        <v>23</v>
      </c>
    </row>
    <row r="544" spans="1:12" x14ac:dyDescent="0.35">
      <c r="A544">
        <v>543</v>
      </c>
      <c r="B544" t="s">
        <v>567</v>
      </c>
      <c r="C544">
        <v>37</v>
      </c>
      <c r="D544" t="s">
        <v>19</v>
      </c>
      <c r="E544" t="s">
        <v>14</v>
      </c>
      <c r="F544">
        <v>6468</v>
      </c>
      <c r="G544" s="1">
        <v>43421</v>
      </c>
      <c r="I544">
        <v>13</v>
      </c>
      <c r="J544" t="s">
        <v>21</v>
      </c>
      <c r="K544" t="s">
        <v>22</v>
      </c>
      <c r="L544" t="s">
        <v>23</v>
      </c>
    </row>
    <row r="545" spans="1:12" x14ac:dyDescent="0.35">
      <c r="A545">
        <v>544</v>
      </c>
      <c r="B545" t="s">
        <v>568</v>
      </c>
      <c r="C545">
        <v>63</v>
      </c>
      <c r="D545" t="s">
        <v>19</v>
      </c>
      <c r="E545" t="s">
        <v>14</v>
      </c>
      <c r="F545">
        <v>9838</v>
      </c>
      <c r="G545" s="1">
        <v>42165</v>
      </c>
      <c r="H545">
        <v>5</v>
      </c>
      <c r="I545">
        <v>20</v>
      </c>
      <c r="J545" t="s">
        <v>15</v>
      </c>
      <c r="K545" t="s">
        <v>22</v>
      </c>
      <c r="L545" t="s">
        <v>25</v>
      </c>
    </row>
    <row r="546" spans="1:12" x14ac:dyDescent="0.35">
      <c r="A546">
        <v>545</v>
      </c>
      <c r="B546" t="s">
        <v>569</v>
      </c>
      <c r="C546">
        <v>47</v>
      </c>
      <c r="D546" t="s">
        <v>13</v>
      </c>
      <c r="E546" t="s">
        <v>14</v>
      </c>
      <c r="F546">
        <v>2766</v>
      </c>
      <c r="G546" s="1">
        <v>43384</v>
      </c>
      <c r="I546">
        <v>20</v>
      </c>
      <c r="J546" t="s">
        <v>21</v>
      </c>
      <c r="K546" t="s">
        <v>22</v>
      </c>
      <c r="L546" t="s">
        <v>17</v>
      </c>
    </row>
    <row r="547" spans="1:12" x14ac:dyDescent="0.35">
      <c r="A547">
        <v>546</v>
      </c>
      <c r="B547" t="s">
        <v>570</v>
      </c>
      <c r="C547">
        <v>31</v>
      </c>
      <c r="D547" t="s">
        <v>35</v>
      </c>
      <c r="E547" t="s">
        <v>27</v>
      </c>
      <c r="F547">
        <v>8103</v>
      </c>
      <c r="G547" s="1">
        <v>43974</v>
      </c>
      <c r="H547">
        <v>5</v>
      </c>
      <c r="I547">
        <v>4</v>
      </c>
      <c r="J547" t="s">
        <v>15</v>
      </c>
      <c r="K547" t="s">
        <v>30</v>
      </c>
      <c r="L547" t="s">
        <v>17</v>
      </c>
    </row>
    <row r="548" spans="1:12" x14ac:dyDescent="0.35">
      <c r="A548">
        <v>547</v>
      </c>
      <c r="B548" t="s">
        <v>571</v>
      </c>
      <c r="C548">
        <v>24</v>
      </c>
      <c r="D548" t="s">
        <v>35</v>
      </c>
      <c r="E548" t="s">
        <v>20</v>
      </c>
      <c r="F548">
        <v>8608</v>
      </c>
      <c r="G548" s="1">
        <v>43403</v>
      </c>
      <c r="I548">
        <v>20</v>
      </c>
      <c r="J548" t="s">
        <v>21</v>
      </c>
      <c r="K548" t="s">
        <v>22</v>
      </c>
      <c r="L548" t="s">
        <v>17</v>
      </c>
    </row>
    <row r="549" spans="1:12" x14ac:dyDescent="0.35">
      <c r="A549">
        <v>548</v>
      </c>
      <c r="B549" t="s">
        <v>572</v>
      </c>
      <c r="C549">
        <v>50</v>
      </c>
      <c r="D549" t="s">
        <v>19</v>
      </c>
      <c r="E549" t="s">
        <v>27</v>
      </c>
      <c r="F549">
        <v>3902</v>
      </c>
      <c r="G549" s="1">
        <v>44125</v>
      </c>
      <c r="I549">
        <v>5</v>
      </c>
      <c r="J549" t="s">
        <v>21</v>
      </c>
      <c r="K549" t="s">
        <v>22</v>
      </c>
      <c r="L549" t="s">
        <v>23</v>
      </c>
    </row>
    <row r="550" spans="1:12" x14ac:dyDescent="0.35">
      <c r="A550">
        <v>549</v>
      </c>
      <c r="B550" t="s">
        <v>573</v>
      </c>
      <c r="C550">
        <v>32</v>
      </c>
      <c r="D550" t="s">
        <v>19</v>
      </c>
      <c r="E550" t="s">
        <v>14</v>
      </c>
      <c r="F550">
        <v>7206</v>
      </c>
      <c r="G550" s="1">
        <v>43111</v>
      </c>
      <c r="I550">
        <v>9</v>
      </c>
      <c r="J550" t="s">
        <v>21</v>
      </c>
      <c r="K550" t="s">
        <v>16</v>
      </c>
      <c r="L550" t="s">
        <v>17</v>
      </c>
    </row>
    <row r="551" spans="1:12" x14ac:dyDescent="0.35">
      <c r="A551">
        <v>550</v>
      </c>
      <c r="B551" t="s">
        <v>574</v>
      </c>
      <c r="C551">
        <v>26</v>
      </c>
      <c r="D551" t="s">
        <v>35</v>
      </c>
      <c r="E551" t="s">
        <v>20</v>
      </c>
      <c r="F551">
        <v>5184</v>
      </c>
      <c r="G551" s="1">
        <v>43443</v>
      </c>
      <c r="H551">
        <v>0</v>
      </c>
      <c r="I551">
        <v>11</v>
      </c>
      <c r="J551" t="s">
        <v>15</v>
      </c>
      <c r="K551" t="s">
        <v>30</v>
      </c>
      <c r="L551" t="s">
        <v>23</v>
      </c>
    </row>
    <row r="552" spans="1:12" x14ac:dyDescent="0.35">
      <c r="A552">
        <v>551</v>
      </c>
      <c r="B552" t="s">
        <v>575</v>
      </c>
      <c r="C552">
        <v>50</v>
      </c>
      <c r="D552" t="s">
        <v>35</v>
      </c>
      <c r="E552" t="s">
        <v>20</v>
      </c>
      <c r="F552">
        <v>3609</v>
      </c>
      <c r="G552" s="1">
        <v>43860</v>
      </c>
      <c r="I552">
        <v>3</v>
      </c>
      <c r="J552" t="s">
        <v>21</v>
      </c>
      <c r="K552" t="s">
        <v>22</v>
      </c>
      <c r="L552" t="s">
        <v>23</v>
      </c>
    </row>
    <row r="553" spans="1:12" x14ac:dyDescent="0.35">
      <c r="A553">
        <v>552</v>
      </c>
      <c r="B553" t="s">
        <v>576</v>
      </c>
      <c r="C553">
        <v>48</v>
      </c>
      <c r="D553" t="s">
        <v>19</v>
      </c>
      <c r="E553" t="s">
        <v>27</v>
      </c>
      <c r="F553">
        <v>2152</v>
      </c>
      <c r="G553" s="1">
        <v>44016</v>
      </c>
      <c r="I553">
        <v>11</v>
      </c>
      <c r="J553" t="s">
        <v>15</v>
      </c>
      <c r="K553" t="s">
        <v>22</v>
      </c>
      <c r="L553" t="s">
        <v>25</v>
      </c>
    </row>
    <row r="554" spans="1:12" x14ac:dyDescent="0.35">
      <c r="A554">
        <v>553</v>
      </c>
      <c r="B554" t="s">
        <v>577</v>
      </c>
      <c r="C554">
        <v>26</v>
      </c>
      <c r="D554" t="s">
        <v>35</v>
      </c>
      <c r="E554" t="s">
        <v>20</v>
      </c>
      <c r="F554">
        <v>9704</v>
      </c>
      <c r="G554" s="1">
        <v>43615</v>
      </c>
      <c r="H554">
        <v>0</v>
      </c>
      <c r="I554">
        <v>9</v>
      </c>
      <c r="J554" t="s">
        <v>15</v>
      </c>
      <c r="K554" t="s">
        <v>16</v>
      </c>
      <c r="L554" t="s">
        <v>23</v>
      </c>
    </row>
    <row r="555" spans="1:12" x14ac:dyDescent="0.35">
      <c r="A555">
        <v>554</v>
      </c>
      <c r="B555" t="s">
        <v>578</v>
      </c>
      <c r="C555">
        <v>20</v>
      </c>
      <c r="D555" t="s">
        <v>19</v>
      </c>
      <c r="E555" t="s">
        <v>27</v>
      </c>
      <c r="F555">
        <v>2061</v>
      </c>
      <c r="G555" s="1">
        <v>45540</v>
      </c>
      <c r="H555">
        <v>3</v>
      </c>
      <c r="I555">
        <v>14</v>
      </c>
      <c r="J555" t="s">
        <v>21</v>
      </c>
      <c r="K555" t="s">
        <v>30</v>
      </c>
      <c r="L555" t="s">
        <v>25</v>
      </c>
    </row>
    <row r="556" spans="1:12" x14ac:dyDescent="0.35">
      <c r="A556">
        <v>555</v>
      </c>
      <c r="B556" t="s">
        <v>579</v>
      </c>
      <c r="C556">
        <v>28</v>
      </c>
      <c r="D556" t="s">
        <v>19</v>
      </c>
      <c r="E556" t="s">
        <v>14</v>
      </c>
      <c r="F556">
        <v>2673</v>
      </c>
      <c r="G556" s="1">
        <v>45204</v>
      </c>
      <c r="I556">
        <v>17</v>
      </c>
      <c r="J556" t="s">
        <v>21</v>
      </c>
      <c r="K556" t="s">
        <v>16</v>
      </c>
      <c r="L556" t="s">
        <v>17</v>
      </c>
    </row>
    <row r="557" spans="1:12" x14ac:dyDescent="0.35">
      <c r="A557">
        <v>556</v>
      </c>
      <c r="B557" t="s">
        <v>580</v>
      </c>
      <c r="C557">
        <v>29</v>
      </c>
      <c r="D557" t="s">
        <v>13</v>
      </c>
      <c r="E557" t="s">
        <v>14</v>
      </c>
      <c r="F557">
        <v>8220</v>
      </c>
      <c r="G557" s="1">
        <v>43789</v>
      </c>
      <c r="H557">
        <v>5</v>
      </c>
      <c r="I557">
        <v>11</v>
      </c>
      <c r="J557" t="s">
        <v>15</v>
      </c>
      <c r="K557" t="s">
        <v>22</v>
      </c>
      <c r="L557" t="s">
        <v>25</v>
      </c>
    </row>
    <row r="558" spans="1:12" x14ac:dyDescent="0.35">
      <c r="A558">
        <v>557</v>
      </c>
      <c r="B558" t="s">
        <v>581</v>
      </c>
      <c r="C558">
        <v>24</v>
      </c>
      <c r="D558" t="s">
        <v>35</v>
      </c>
      <c r="E558" t="s">
        <v>27</v>
      </c>
      <c r="F558">
        <v>7887</v>
      </c>
      <c r="G558" s="1">
        <v>43122</v>
      </c>
      <c r="H558">
        <v>0</v>
      </c>
      <c r="I558">
        <v>14</v>
      </c>
      <c r="J558" t="s">
        <v>15</v>
      </c>
      <c r="K558" t="s">
        <v>30</v>
      </c>
      <c r="L558" t="s">
        <v>17</v>
      </c>
    </row>
    <row r="559" spans="1:12" x14ac:dyDescent="0.35">
      <c r="A559">
        <v>558</v>
      </c>
      <c r="B559" t="s">
        <v>582</v>
      </c>
      <c r="C559">
        <v>28</v>
      </c>
      <c r="D559" t="s">
        <v>35</v>
      </c>
      <c r="E559" t="s">
        <v>14</v>
      </c>
      <c r="F559">
        <v>9163</v>
      </c>
      <c r="G559" s="1">
        <v>43378</v>
      </c>
      <c r="H559">
        <v>2</v>
      </c>
      <c r="I559">
        <v>12</v>
      </c>
      <c r="J559" t="s">
        <v>15</v>
      </c>
      <c r="K559" t="s">
        <v>22</v>
      </c>
      <c r="L559" t="s">
        <v>25</v>
      </c>
    </row>
    <row r="560" spans="1:12" x14ac:dyDescent="0.35">
      <c r="A560">
        <v>559</v>
      </c>
      <c r="B560" t="s">
        <v>583</v>
      </c>
      <c r="C560">
        <v>63</v>
      </c>
      <c r="D560" t="s">
        <v>13</v>
      </c>
      <c r="E560" t="s">
        <v>20</v>
      </c>
      <c r="F560">
        <v>2640</v>
      </c>
      <c r="G560" s="1">
        <v>44128</v>
      </c>
      <c r="H560">
        <v>0</v>
      </c>
      <c r="I560">
        <v>3</v>
      </c>
      <c r="J560" t="s">
        <v>15</v>
      </c>
      <c r="K560" t="s">
        <v>16</v>
      </c>
      <c r="L560" t="s">
        <v>25</v>
      </c>
    </row>
    <row r="561" spans="1:12" x14ac:dyDescent="0.35">
      <c r="A561">
        <v>560</v>
      </c>
      <c r="B561" t="s">
        <v>584</v>
      </c>
      <c r="C561">
        <v>39</v>
      </c>
      <c r="D561" t="s">
        <v>13</v>
      </c>
      <c r="E561" t="s">
        <v>20</v>
      </c>
      <c r="F561">
        <v>2831</v>
      </c>
      <c r="G561" s="1">
        <v>44642</v>
      </c>
      <c r="H561">
        <v>4</v>
      </c>
      <c r="I561">
        <v>8</v>
      </c>
      <c r="J561" t="s">
        <v>15</v>
      </c>
      <c r="K561" t="s">
        <v>22</v>
      </c>
      <c r="L561" t="s">
        <v>23</v>
      </c>
    </row>
    <row r="562" spans="1:12" x14ac:dyDescent="0.35">
      <c r="A562">
        <v>561</v>
      </c>
      <c r="B562" t="s">
        <v>585</v>
      </c>
      <c r="C562">
        <v>52</v>
      </c>
      <c r="D562" t="s">
        <v>13</v>
      </c>
      <c r="E562" t="s">
        <v>14</v>
      </c>
      <c r="F562">
        <v>7404</v>
      </c>
      <c r="G562" s="1">
        <v>45297</v>
      </c>
      <c r="H562">
        <v>4</v>
      </c>
      <c r="I562">
        <v>15</v>
      </c>
      <c r="J562" t="s">
        <v>21</v>
      </c>
      <c r="K562" t="s">
        <v>16</v>
      </c>
      <c r="L562" t="s">
        <v>25</v>
      </c>
    </row>
    <row r="563" spans="1:12" x14ac:dyDescent="0.35">
      <c r="A563">
        <v>562</v>
      </c>
      <c r="B563" t="s">
        <v>586</v>
      </c>
      <c r="C563">
        <v>37</v>
      </c>
      <c r="D563" t="s">
        <v>13</v>
      </c>
      <c r="E563" t="s">
        <v>14</v>
      </c>
      <c r="F563">
        <v>8201</v>
      </c>
      <c r="G563" s="1">
        <v>43052</v>
      </c>
      <c r="H563">
        <v>2</v>
      </c>
      <c r="I563">
        <v>16</v>
      </c>
      <c r="J563" t="s">
        <v>21</v>
      </c>
      <c r="K563" t="s">
        <v>30</v>
      </c>
      <c r="L563" t="s">
        <v>25</v>
      </c>
    </row>
    <row r="564" spans="1:12" x14ac:dyDescent="0.35">
      <c r="A564">
        <v>563</v>
      </c>
      <c r="B564" t="s">
        <v>587</v>
      </c>
      <c r="C564">
        <v>51</v>
      </c>
      <c r="D564" t="s">
        <v>13</v>
      </c>
      <c r="E564" t="s">
        <v>14</v>
      </c>
      <c r="F564">
        <v>9646</v>
      </c>
      <c r="G564" s="1">
        <v>44416</v>
      </c>
      <c r="I564">
        <v>18</v>
      </c>
      <c r="J564" t="s">
        <v>21</v>
      </c>
      <c r="K564" t="s">
        <v>30</v>
      </c>
      <c r="L564" t="s">
        <v>23</v>
      </c>
    </row>
    <row r="565" spans="1:12" x14ac:dyDescent="0.35">
      <c r="A565">
        <v>564</v>
      </c>
      <c r="B565" t="s">
        <v>588</v>
      </c>
      <c r="C565">
        <v>23</v>
      </c>
      <c r="D565" t="s">
        <v>13</v>
      </c>
      <c r="E565" t="s">
        <v>14</v>
      </c>
      <c r="F565">
        <v>7551</v>
      </c>
      <c r="G565" s="1">
        <v>43391</v>
      </c>
      <c r="I565">
        <v>13</v>
      </c>
      <c r="J565" t="s">
        <v>21</v>
      </c>
      <c r="K565" t="s">
        <v>16</v>
      </c>
      <c r="L565" t="s">
        <v>17</v>
      </c>
    </row>
    <row r="566" spans="1:12" x14ac:dyDescent="0.35">
      <c r="A566">
        <v>565</v>
      </c>
      <c r="B566" t="s">
        <v>589</v>
      </c>
      <c r="C566">
        <v>50</v>
      </c>
      <c r="D566" t="s">
        <v>35</v>
      </c>
      <c r="E566" t="s">
        <v>27</v>
      </c>
      <c r="F566">
        <v>8941</v>
      </c>
      <c r="G566" s="1">
        <v>43355</v>
      </c>
      <c r="H566">
        <v>2</v>
      </c>
      <c r="I566">
        <v>11</v>
      </c>
      <c r="J566" t="s">
        <v>15</v>
      </c>
      <c r="K566" t="s">
        <v>16</v>
      </c>
      <c r="L566" t="s">
        <v>25</v>
      </c>
    </row>
    <row r="567" spans="1:12" x14ac:dyDescent="0.35">
      <c r="A567">
        <v>566</v>
      </c>
      <c r="B567" t="s">
        <v>590</v>
      </c>
      <c r="C567">
        <v>46</v>
      </c>
      <c r="D567" t="s">
        <v>13</v>
      </c>
      <c r="E567" t="s">
        <v>20</v>
      </c>
      <c r="F567">
        <v>3768</v>
      </c>
      <c r="G567" s="1">
        <v>44853</v>
      </c>
      <c r="H567">
        <v>1</v>
      </c>
      <c r="I567">
        <v>4</v>
      </c>
      <c r="J567" t="s">
        <v>21</v>
      </c>
      <c r="K567" t="s">
        <v>30</v>
      </c>
      <c r="L567" t="s">
        <v>17</v>
      </c>
    </row>
    <row r="568" spans="1:12" x14ac:dyDescent="0.35">
      <c r="A568">
        <v>567</v>
      </c>
      <c r="B568" t="s">
        <v>591</v>
      </c>
      <c r="C568">
        <v>32</v>
      </c>
      <c r="D568" t="s">
        <v>13</v>
      </c>
      <c r="E568" t="s">
        <v>14</v>
      </c>
      <c r="F568">
        <v>9370</v>
      </c>
      <c r="G568" s="1">
        <v>44324</v>
      </c>
      <c r="H568">
        <v>4</v>
      </c>
      <c r="I568">
        <v>20</v>
      </c>
      <c r="J568" t="s">
        <v>21</v>
      </c>
      <c r="K568" t="s">
        <v>16</v>
      </c>
      <c r="L568" t="s">
        <v>17</v>
      </c>
    </row>
    <row r="569" spans="1:12" x14ac:dyDescent="0.35">
      <c r="A569">
        <v>568</v>
      </c>
      <c r="B569" t="s">
        <v>592</v>
      </c>
      <c r="C569">
        <v>20</v>
      </c>
      <c r="D569" t="s">
        <v>19</v>
      </c>
      <c r="E569" t="s">
        <v>20</v>
      </c>
      <c r="F569">
        <v>7155</v>
      </c>
      <c r="G569" s="1">
        <v>42325</v>
      </c>
      <c r="I569">
        <v>1</v>
      </c>
      <c r="J569" t="s">
        <v>21</v>
      </c>
      <c r="K569" t="s">
        <v>22</v>
      </c>
      <c r="L569" t="s">
        <v>17</v>
      </c>
    </row>
    <row r="570" spans="1:12" x14ac:dyDescent="0.35">
      <c r="A570">
        <v>569</v>
      </c>
      <c r="B570" t="s">
        <v>593</v>
      </c>
      <c r="C570">
        <v>55</v>
      </c>
      <c r="D570" t="s">
        <v>13</v>
      </c>
      <c r="E570" t="s">
        <v>20</v>
      </c>
      <c r="F570">
        <v>6345</v>
      </c>
      <c r="G570" s="1">
        <v>43530</v>
      </c>
      <c r="H570">
        <v>0</v>
      </c>
      <c r="I570">
        <v>2</v>
      </c>
      <c r="J570" t="s">
        <v>15</v>
      </c>
      <c r="K570" t="s">
        <v>22</v>
      </c>
      <c r="L570" t="s">
        <v>23</v>
      </c>
    </row>
    <row r="571" spans="1:12" x14ac:dyDescent="0.35">
      <c r="A571">
        <v>570</v>
      </c>
      <c r="B571" t="s">
        <v>594</v>
      </c>
      <c r="C571">
        <v>35</v>
      </c>
      <c r="D571" t="s">
        <v>19</v>
      </c>
      <c r="E571" t="s">
        <v>27</v>
      </c>
      <c r="F571">
        <v>2042</v>
      </c>
      <c r="G571" s="1">
        <v>42726</v>
      </c>
      <c r="I571">
        <v>4</v>
      </c>
      <c r="J571" t="s">
        <v>15</v>
      </c>
      <c r="K571" t="s">
        <v>16</v>
      </c>
      <c r="L571" t="s">
        <v>23</v>
      </c>
    </row>
    <row r="572" spans="1:12" x14ac:dyDescent="0.35">
      <c r="A572">
        <v>571</v>
      </c>
      <c r="B572" t="s">
        <v>595</v>
      </c>
      <c r="C572">
        <v>18</v>
      </c>
      <c r="D572" t="s">
        <v>19</v>
      </c>
      <c r="E572" t="s">
        <v>14</v>
      </c>
      <c r="F572">
        <v>2392</v>
      </c>
      <c r="G572" s="1">
        <v>42802</v>
      </c>
      <c r="I572">
        <v>20</v>
      </c>
      <c r="J572" t="s">
        <v>15</v>
      </c>
      <c r="K572" t="s">
        <v>22</v>
      </c>
      <c r="L572" t="s">
        <v>23</v>
      </c>
    </row>
    <row r="573" spans="1:12" x14ac:dyDescent="0.35">
      <c r="A573">
        <v>572</v>
      </c>
      <c r="B573" t="s">
        <v>596</v>
      </c>
      <c r="C573">
        <v>41</v>
      </c>
      <c r="D573" t="s">
        <v>19</v>
      </c>
      <c r="E573" t="s">
        <v>20</v>
      </c>
      <c r="F573">
        <v>4208</v>
      </c>
      <c r="G573" s="1">
        <v>44983</v>
      </c>
      <c r="H573">
        <v>4</v>
      </c>
      <c r="I573">
        <v>5</v>
      </c>
      <c r="J573" t="s">
        <v>21</v>
      </c>
      <c r="K573" t="s">
        <v>30</v>
      </c>
      <c r="L573" t="s">
        <v>23</v>
      </c>
    </row>
    <row r="574" spans="1:12" x14ac:dyDescent="0.35">
      <c r="A574">
        <v>573</v>
      </c>
      <c r="B574" t="s">
        <v>597</v>
      </c>
      <c r="C574">
        <v>22</v>
      </c>
      <c r="D574" t="s">
        <v>35</v>
      </c>
      <c r="E574" t="s">
        <v>27</v>
      </c>
      <c r="F574">
        <v>3141</v>
      </c>
      <c r="G574" s="1">
        <v>45328</v>
      </c>
      <c r="I574">
        <v>19</v>
      </c>
      <c r="J574" t="s">
        <v>21</v>
      </c>
      <c r="K574" t="s">
        <v>16</v>
      </c>
      <c r="L574" t="s">
        <v>17</v>
      </c>
    </row>
    <row r="575" spans="1:12" x14ac:dyDescent="0.35">
      <c r="A575">
        <v>574</v>
      </c>
      <c r="B575" t="s">
        <v>598</v>
      </c>
      <c r="C575">
        <v>38</v>
      </c>
      <c r="D575" t="s">
        <v>35</v>
      </c>
      <c r="E575" t="s">
        <v>27</v>
      </c>
      <c r="F575">
        <v>3532</v>
      </c>
      <c r="G575" s="1">
        <v>43422</v>
      </c>
      <c r="H575">
        <v>0</v>
      </c>
      <c r="I575">
        <v>1</v>
      </c>
      <c r="J575" t="s">
        <v>15</v>
      </c>
      <c r="K575" t="s">
        <v>16</v>
      </c>
      <c r="L575" t="s">
        <v>25</v>
      </c>
    </row>
    <row r="576" spans="1:12" x14ac:dyDescent="0.35">
      <c r="A576">
        <v>575</v>
      </c>
      <c r="B576" t="s">
        <v>599</v>
      </c>
      <c r="C576">
        <v>27</v>
      </c>
      <c r="D576" t="s">
        <v>19</v>
      </c>
      <c r="E576" t="s">
        <v>14</v>
      </c>
      <c r="F576">
        <v>3247</v>
      </c>
      <c r="G576" s="1">
        <v>44461</v>
      </c>
      <c r="H576">
        <v>4</v>
      </c>
      <c r="I576">
        <v>11</v>
      </c>
      <c r="J576" t="s">
        <v>15</v>
      </c>
      <c r="K576" t="s">
        <v>30</v>
      </c>
      <c r="L576" t="s">
        <v>25</v>
      </c>
    </row>
    <row r="577" spans="1:12" x14ac:dyDescent="0.35">
      <c r="A577">
        <v>576</v>
      </c>
      <c r="B577" t="s">
        <v>600</v>
      </c>
      <c r="C577">
        <v>34</v>
      </c>
      <c r="D577" t="s">
        <v>35</v>
      </c>
      <c r="E577" t="s">
        <v>14</v>
      </c>
      <c r="F577">
        <v>5168</v>
      </c>
      <c r="G577" s="1">
        <v>45275</v>
      </c>
      <c r="H577">
        <v>1</v>
      </c>
      <c r="I577">
        <v>14</v>
      </c>
      <c r="J577" t="s">
        <v>21</v>
      </c>
      <c r="K577" t="s">
        <v>16</v>
      </c>
      <c r="L577" t="s">
        <v>23</v>
      </c>
    </row>
    <row r="578" spans="1:12" x14ac:dyDescent="0.35">
      <c r="A578">
        <v>577</v>
      </c>
      <c r="B578" t="s">
        <v>601</v>
      </c>
      <c r="C578">
        <v>49</v>
      </c>
      <c r="D578" t="s">
        <v>35</v>
      </c>
      <c r="E578" t="s">
        <v>20</v>
      </c>
      <c r="F578">
        <v>7111</v>
      </c>
      <c r="G578" s="1">
        <v>44635</v>
      </c>
      <c r="H578">
        <v>5</v>
      </c>
      <c r="I578">
        <v>18</v>
      </c>
      <c r="J578" t="s">
        <v>15</v>
      </c>
      <c r="K578" t="s">
        <v>30</v>
      </c>
      <c r="L578" t="s">
        <v>17</v>
      </c>
    </row>
    <row r="579" spans="1:12" x14ac:dyDescent="0.35">
      <c r="A579">
        <v>578</v>
      </c>
      <c r="B579" t="s">
        <v>602</v>
      </c>
      <c r="C579">
        <v>28</v>
      </c>
      <c r="D579" t="s">
        <v>19</v>
      </c>
      <c r="E579" t="s">
        <v>27</v>
      </c>
      <c r="F579">
        <v>4002</v>
      </c>
      <c r="G579" s="1">
        <v>42088</v>
      </c>
      <c r="H579">
        <v>2</v>
      </c>
      <c r="I579">
        <v>12</v>
      </c>
      <c r="J579" t="s">
        <v>15</v>
      </c>
      <c r="K579" t="s">
        <v>16</v>
      </c>
      <c r="L579" t="s">
        <v>23</v>
      </c>
    </row>
    <row r="580" spans="1:12" x14ac:dyDescent="0.35">
      <c r="A580">
        <v>579</v>
      </c>
      <c r="B580" t="s">
        <v>603</v>
      </c>
      <c r="C580">
        <v>18</v>
      </c>
      <c r="D580" t="s">
        <v>19</v>
      </c>
      <c r="E580" t="s">
        <v>14</v>
      </c>
      <c r="F580">
        <v>8824</v>
      </c>
      <c r="G580" s="1">
        <v>42311</v>
      </c>
      <c r="H580">
        <v>5</v>
      </c>
      <c r="I580">
        <v>11</v>
      </c>
      <c r="J580" t="s">
        <v>21</v>
      </c>
      <c r="K580" t="s">
        <v>16</v>
      </c>
      <c r="L580" t="s">
        <v>25</v>
      </c>
    </row>
    <row r="581" spans="1:12" x14ac:dyDescent="0.35">
      <c r="A581">
        <v>580</v>
      </c>
      <c r="B581" t="s">
        <v>604</v>
      </c>
      <c r="C581">
        <v>32</v>
      </c>
      <c r="D581" t="s">
        <v>35</v>
      </c>
      <c r="E581" t="s">
        <v>14</v>
      </c>
      <c r="F581">
        <v>3736</v>
      </c>
      <c r="G581" s="1">
        <v>43369</v>
      </c>
      <c r="H581">
        <v>3</v>
      </c>
      <c r="I581">
        <v>17</v>
      </c>
      <c r="J581" t="s">
        <v>15</v>
      </c>
      <c r="K581" t="s">
        <v>16</v>
      </c>
      <c r="L581" t="s">
        <v>23</v>
      </c>
    </row>
    <row r="582" spans="1:12" x14ac:dyDescent="0.35">
      <c r="A582">
        <v>581</v>
      </c>
      <c r="B582" t="s">
        <v>605</v>
      </c>
      <c r="C582">
        <v>32</v>
      </c>
      <c r="D582" t="s">
        <v>13</v>
      </c>
      <c r="E582" t="s">
        <v>14</v>
      </c>
      <c r="F582">
        <v>9772</v>
      </c>
      <c r="G582" s="1">
        <v>44321</v>
      </c>
      <c r="H582">
        <v>1</v>
      </c>
      <c r="I582">
        <v>8</v>
      </c>
      <c r="J582" t="s">
        <v>21</v>
      </c>
      <c r="K582" t="s">
        <v>22</v>
      </c>
      <c r="L582" t="s">
        <v>17</v>
      </c>
    </row>
    <row r="583" spans="1:12" x14ac:dyDescent="0.35">
      <c r="A583">
        <v>582</v>
      </c>
      <c r="B583" t="s">
        <v>606</v>
      </c>
      <c r="C583">
        <v>35</v>
      </c>
      <c r="D583" t="s">
        <v>19</v>
      </c>
      <c r="E583" t="s">
        <v>27</v>
      </c>
      <c r="F583">
        <v>3433</v>
      </c>
      <c r="G583" s="1">
        <v>45358</v>
      </c>
      <c r="I583">
        <v>11</v>
      </c>
      <c r="J583" t="s">
        <v>15</v>
      </c>
      <c r="K583" t="s">
        <v>16</v>
      </c>
      <c r="L583" t="s">
        <v>23</v>
      </c>
    </row>
    <row r="584" spans="1:12" x14ac:dyDescent="0.35">
      <c r="A584">
        <v>583</v>
      </c>
      <c r="B584" t="s">
        <v>607</v>
      </c>
      <c r="C584">
        <v>60</v>
      </c>
      <c r="D584" t="s">
        <v>35</v>
      </c>
      <c r="E584" t="s">
        <v>20</v>
      </c>
      <c r="F584">
        <v>3154</v>
      </c>
      <c r="G584" s="1">
        <v>42413</v>
      </c>
      <c r="I584">
        <v>12</v>
      </c>
      <c r="J584" t="s">
        <v>21</v>
      </c>
      <c r="K584" t="s">
        <v>16</v>
      </c>
      <c r="L584" t="s">
        <v>17</v>
      </c>
    </row>
    <row r="585" spans="1:12" x14ac:dyDescent="0.35">
      <c r="A585">
        <v>584</v>
      </c>
      <c r="B585" t="s">
        <v>608</v>
      </c>
      <c r="C585">
        <v>19</v>
      </c>
      <c r="D585" t="s">
        <v>19</v>
      </c>
      <c r="E585" t="s">
        <v>14</v>
      </c>
      <c r="F585">
        <v>6531</v>
      </c>
      <c r="G585" s="1">
        <v>43405</v>
      </c>
      <c r="H585">
        <v>2</v>
      </c>
      <c r="I585">
        <v>10</v>
      </c>
      <c r="J585" t="s">
        <v>21</v>
      </c>
      <c r="K585" t="s">
        <v>22</v>
      </c>
      <c r="L585" t="s">
        <v>25</v>
      </c>
    </row>
    <row r="586" spans="1:12" x14ac:dyDescent="0.35">
      <c r="A586">
        <v>585</v>
      </c>
      <c r="B586" t="s">
        <v>609</v>
      </c>
      <c r="C586">
        <v>62</v>
      </c>
      <c r="D586" t="s">
        <v>13</v>
      </c>
      <c r="E586" t="s">
        <v>20</v>
      </c>
      <c r="F586">
        <v>2844</v>
      </c>
      <c r="G586" s="1">
        <v>42105</v>
      </c>
      <c r="H586">
        <v>5</v>
      </c>
      <c r="I586">
        <v>10</v>
      </c>
      <c r="J586" t="s">
        <v>15</v>
      </c>
      <c r="K586" t="s">
        <v>16</v>
      </c>
      <c r="L586" t="s">
        <v>23</v>
      </c>
    </row>
    <row r="587" spans="1:12" x14ac:dyDescent="0.35">
      <c r="A587">
        <v>586</v>
      </c>
      <c r="B587" t="s">
        <v>610</v>
      </c>
      <c r="C587">
        <v>24</v>
      </c>
      <c r="D587" t="s">
        <v>19</v>
      </c>
      <c r="E587" t="s">
        <v>14</v>
      </c>
      <c r="F587">
        <v>2401</v>
      </c>
      <c r="G587" s="1">
        <v>43851</v>
      </c>
      <c r="H587">
        <v>2</v>
      </c>
      <c r="I587">
        <v>19</v>
      </c>
      <c r="J587" t="s">
        <v>21</v>
      </c>
      <c r="K587" t="s">
        <v>16</v>
      </c>
      <c r="L587" t="s">
        <v>17</v>
      </c>
    </row>
    <row r="588" spans="1:12" x14ac:dyDescent="0.35">
      <c r="A588">
        <v>587</v>
      </c>
      <c r="B588" t="s">
        <v>611</v>
      </c>
      <c r="C588">
        <v>47</v>
      </c>
      <c r="D588" t="s">
        <v>35</v>
      </c>
      <c r="E588" t="s">
        <v>27</v>
      </c>
      <c r="F588">
        <v>5440</v>
      </c>
      <c r="G588" s="1">
        <v>42632</v>
      </c>
      <c r="I588">
        <v>11</v>
      </c>
      <c r="J588" t="s">
        <v>21</v>
      </c>
      <c r="K588" t="s">
        <v>16</v>
      </c>
      <c r="L588" t="s">
        <v>23</v>
      </c>
    </row>
    <row r="589" spans="1:12" x14ac:dyDescent="0.35">
      <c r="A589">
        <v>588</v>
      </c>
      <c r="B589" t="s">
        <v>612</v>
      </c>
      <c r="C589">
        <v>42</v>
      </c>
      <c r="D589" t="s">
        <v>19</v>
      </c>
      <c r="E589" t="s">
        <v>14</v>
      </c>
      <c r="F589">
        <v>9390</v>
      </c>
      <c r="G589" s="1">
        <v>44413</v>
      </c>
      <c r="H589">
        <v>5</v>
      </c>
      <c r="I589">
        <v>13</v>
      </c>
      <c r="J589" t="s">
        <v>21</v>
      </c>
      <c r="K589" t="s">
        <v>16</v>
      </c>
      <c r="L589" t="s">
        <v>25</v>
      </c>
    </row>
    <row r="590" spans="1:12" x14ac:dyDescent="0.35">
      <c r="A590">
        <v>589</v>
      </c>
      <c r="B590" t="s">
        <v>613</v>
      </c>
      <c r="C590">
        <v>64</v>
      </c>
      <c r="D590" t="s">
        <v>19</v>
      </c>
      <c r="E590" t="s">
        <v>20</v>
      </c>
      <c r="F590">
        <v>7293</v>
      </c>
      <c r="G590" s="1">
        <v>44900</v>
      </c>
      <c r="H590">
        <v>2</v>
      </c>
      <c r="I590">
        <v>4</v>
      </c>
      <c r="J590" t="s">
        <v>21</v>
      </c>
      <c r="K590" t="s">
        <v>22</v>
      </c>
      <c r="L590" t="s">
        <v>17</v>
      </c>
    </row>
    <row r="591" spans="1:12" x14ac:dyDescent="0.35">
      <c r="A591">
        <v>590</v>
      </c>
      <c r="B591" t="s">
        <v>614</v>
      </c>
      <c r="C591">
        <v>18</v>
      </c>
      <c r="D591" t="s">
        <v>13</v>
      </c>
      <c r="E591" t="s">
        <v>14</v>
      </c>
      <c r="F591">
        <v>7088</v>
      </c>
      <c r="G591" s="1">
        <v>44140</v>
      </c>
      <c r="H591">
        <v>0</v>
      </c>
      <c r="I591">
        <v>7</v>
      </c>
      <c r="J591" t="s">
        <v>15</v>
      </c>
      <c r="K591" t="s">
        <v>22</v>
      </c>
      <c r="L591" t="s">
        <v>17</v>
      </c>
    </row>
    <row r="592" spans="1:12" x14ac:dyDescent="0.35">
      <c r="A592">
        <v>591</v>
      </c>
      <c r="B592" t="s">
        <v>615</v>
      </c>
      <c r="C592">
        <v>38</v>
      </c>
      <c r="D592" t="s">
        <v>19</v>
      </c>
      <c r="E592" t="s">
        <v>14</v>
      </c>
      <c r="F592">
        <v>7948</v>
      </c>
      <c r="G592" s="1">
        <v>44080</v>
      </c>
      <c r="I592">
        <v>18</v>
      </c>
      <c r="J592" t="s">
        <v>21</v>
      </c>
      <c r="K592" t="s">
        <v>22</v>
      </c>
      <c r="L592" t="s">
        <v>25</v>
      </c>
    </row>
    <row r="593" spans="1:12" x14ac:dyDescent="0.35">
      <c r="A593">
        <v>592</v>
      </c>
      <c r="B593" t="s">
        <v>616</v>
      </c>
      <c r="C593">
        <v>49</v>
      </c>
      <c r="D593" t="s">
        <v>19</v>
      </c>
      <c r="E593" t="s">
        <v>20</v>
      </c>
      <c r="F593">
        <v>9323</v>
      </c>
      <c r="G593" s="1">
        <v>44215</v>
      </c>
      <c r="I593">
        <v>18</v>
      </c>
      <c r="J593" t="s">
        <v>21</v>
      </c>
      <c r="K593" t="s">
        <v>30</v>
      </c>
      <c r="L593" t="s">
        <v>23</v>
      </c>
    </row>
    <row r="594" spans="1:12" x14ac:dyDescent="0.35">
      <c r="A594">
        <v>593</v>
      </c>
      <c r="B594" t="s">
        <v>617</v>
      </c>
      <c r="C594">
        <v>47</v>
      </c>
      <c r="D594" t="s">
        <v>13</v>
      </c>
      <c r="E594" t="s">
        <v>20</v>
      </c>
      <c r="F594">
        <v>7876</v>
      </c>
      <c r="G594" s="1">
        <v>43585</v>
      </c>
      <c r="H594">
        <v>2</v>
      </c>
      <c r="I594">
        <v>1</v>
      </c>
      <c r="J594" t="s">
        <v>15</v>
      </c>
      <c r="K594" t="s">
        <v>22</v>
      </c>
      <c r="L594" t="s">
        <v>25</v>
      </c>
    </row>
    <row r="595" spans="1:12" x14ac:dyDescent="0.35">
      <c r="A595">
        <v>594</v>
      </c>
      <c r="B595" t="s">
        <v>618</v>
      </c>
      <c r="C595">
        <v>28</v>
      </c>
      <c r="D595" t="s">
        <v>19</v>
      </c>
      <c r="E595" t="s">
        <v>14</v>
      </c>
      <c r="F595">
        <v>8165</v>
      </c>
      <c r="G595" s="1">
        <v>44192</v>
      </c>
      <c r="I595">
        <v>4</v>
      </c>
      <c r="J595" t="s">
        <v>15</v>
      </c>
      <c r="K595" t="s">
        <v>30</v>
      </c>
      <c r="L595" t="s">
        <v>23</v>
      </c>
    </row>
    <row r="596" spans="1:12" x14ac:dyDescent="0.35">
      <c r="A596">
        <v>595</v>
      </c>
      <c r="B596" t="s">
        <v>619</v>
      </c>
      <c r="C596">
        <v>35</v>
      </c>
      <c r="D596" t="s">
        <v>19</v>
      </c>
      <c r="E596" t="s">
        <v>20</v>
      </c>
      <c r="F596">
        <v>9906</v>
      </c>
      <c r="G596" s="1">
        <v>43452</v>
      </c>
      <c r="I596">
        <v>9</v>
      </c>
      <c r="J596" t="s">
        <v>15</v>
      </c>
      <c r="K596" t="s">
        <v>22</v>
      </c>
      <c r="L596" t="s">
        <v>23</v>
      </c>
    </row>
    <row r="597" spans="1:12" x14ac:dyDescent="0.35">
      <c r="A597">
        <v>596</v>
      </c>
      <c r="B597" t="s">
        <v>620</v>
      </c>
      <c r="C597">
        <v>53</v>
      </c>
      <c r="D597" t="s">
        <v>13</v>
      </c>
      <c r="E597" t="s">
        <v>20</v>
      </c>
      <c r="F597">
        <v>8742</v>
      </c>
      <c r="G597" s="1">
        <v>43560</v>
      </c>
      <c r="I597">
        <v>16</v>
      </c>
      <c r="J597" t="s">
        <v>21</v>
      </c>
      <c r="K597" t="s">
        <v>22</v>
      </c>
      <c r="L597" t="s">
        <v>23</v>
      </c>
    </row>
    <row r="598" spans="1:12" x14ac:dyDescent="0.35">
      <c r="A598">
        <v>597</v>
      </c>
      <c r="B598" t="s">
        <v>621</v>
      </c>
      <c r="C598">
        <v>55</v>
      </c>
      <c r="D598" t="s">
        <v>13</v>
      </c>
      <c r="E598" t="s">
        <v>27</v>
      </c>
      <c r="F598">
        <v>4040</v>
      </c>
      <c r="G598" s="1">
        <v>42147</v>
      </c>
      <c r="H598">
        <v>2</v>
      </c>
      <c r="I598">
        <v>19</v>
      </c>
      <c r="J598" t="s">
        <v>21</v>
      </c>
      <c r="K598" t="s">
        <v>16</v>
      </c>
      <c r="L598" t="s">
        <v>25</v>
      </c>
    </row>
    <row r="599" spans="1:12" x14ac:dyDescent="0.35">
      <c r="A599">
        <v>598</v>
      </c>
      <c r="B599" t="s">
        <v>622</v>
      </c>
      <c r="C599">
        <v>20</v>
      </c>
      <c r="D599" t="s">
        <v>35</v>
      </c>
      <c r="E599" t="s">
        <v>14</v>
      </c>
      <c r="F599">
        <v>2256</v>
      </c>
      <c r="G599" s="1">
        <v>43931</v>
      </c>
      <c r="H599">
        <v>0</v>
      </c>
      <c r="I599">
        <v>9</v>
      </c>
      <c r="J599" t="s">
        <v>15</v>
      </c>
      <c r="K599" t="s">
        <v>16</v>
      </c>
      <c r="L599" t="s">
        <v>23</v>
      </c>
    </row>
    <row r="600" spans="1:12" x14ac:dyDescent="0.35">
      <c r="A600">
        <v>599</v>
      </c>
      <c r="B600" t="s">
        <v>623</v>
      </c>
      <c r="C600">
        <v>58</v>
      </c>
      <c r="D600" t="s">
        <v>13</v>
      </c>
      <c r="E600" t="s">
        <v>14</v>
      </c>
      <c r="F600">
        <v>2593</v>
      </c>
      <c r="G600" s="1">
        <v>43678</v>
      </c>
      <c r="I600">
        <v>11</v>
      </c>
      <c r="J600" t="s">
        <v>21</v>
      </c>
      <c r="K600" t="s">
        <v>30</v>
      </c>
      <c r="L600" t="s">
        <v>17</v>
      </c>
    </row>
    <row r="601" spans="1:12" x14ac:dyDescent="0.35">
      <c r="A601">
        <v>600</v>
      </c>
      <c r="B601" t="s">
        <v>624</v>
      </c>
      <c r="C601">
        <v>20</v>
      </c>
      <c r="D601" t="s">
        <v>35</v>
      </c>
      <c r="E601" t="s">
        <v>14</v>
      </c>
      <c r="F601">
        <v>7375</v>
      </c>
      <c r="G601" s="1">
        <v>42415</v>
      </c>
      <c r="H601">
        <v>5</v>
      </c>
      <c r="I601">
        <v>2</v>
      </c>
      <c r="J601" t="s">
        <v>15</v>
      </c>
      <c r="K601" t="s">
        <v>30</v>
      </c>
      <c r="L601" t="s">
        <v>17</v>
      </c>
    </row>
    <row r="602" spans="1:12" x14ac:dyDescent="0.35">
      <c r="A602">
        <v>601</v>
      </c>
      <c r="B602" t="s">
        <v>625</v>
      </c>
      <c r="C602">
        <v>30</v>
      </c>
      <c r="D602" t="s">
        <v>13</v>
      </c>
      <c r="E602" t="s">
        <v>27</v>
      </c>
      <c r="F602">
        <v>7847</v>
      </c>
      <c r="G602" s="1">
        <v>45386</v>
      </c>
      <c r="H602">
        <v>3</v>
      </c>
      <c r="I602">
        <v>10</v>
      </c>
      <c r="J602" t="s">
        <v>21</v>
      </c>
      <c r="K602" t="s">
        <v>16</v>
      </c>
      <c r="L602" t="s">
        <v>25</v>
      </c>
    </row>
    <row r="603" spans="1:12" x14ac:dyDescent="0.35">
      <c r="A603">
        <v>602</v>
      </c>
      <c r="B603" t="s">
        <v>626</v>
      </c>
      <c r="C603">
        <v>52</v>
      </c>
      <c r="D603" t="s">
        <v>35</v>
      </c>
      <c r="E603" t="s">
        <v>20</v>
      </c>
      <c r="F603">
        <v>6509</v>
      </c>
      <c r="G603" s="1">
        <v>44323</v>
      </c>
      <c r="H603">
        <v>1</v>
      </c>
      <c r="I603">
        <v>1</v>
      </c>
      <c r="J603" t="s">
        <v>15</v>
      </c>
      <c r="K603" t="s">
        <v>30</v>
      </c>
      <c r="L603" t="s">
        <v>25</v>
      </c>
    </row>
    <row r="604" spans="1:12" x14ac:dyDescent="0.35">
      <c r="A604">
        <v>603</v>
      </c>
      <c r="B604" t="s">
        <v>627</v>
      </c>
      <c r="C604">
        <v>37</v>
      </c>
      <c r="D604" t="s">
        <v>13</v>
      </c>
      <c r="E604" t="s">
        <v>14</v>
      </c>
      <c r="F604">
        <v>4680</v>
      </c>
      <c r="G604" s="1">
        <v>44157</v>
      </c>
      <c r="H604">
        <v>2</v>
      </c>
      <c r="I604">
        <v>13</v>
      </c>
      <c r="J604" t="s">
        <v>21</v>
      </c>
      <c r="K604" t="s">
        <v>22</v>
      </c>
      <c r="L604" t="s">
        <v>23</v>
      </c>
    </row>
    <row r="605" spans="1:12" x14ac:dyDescent="0.35">
      <c r="A605">
        <v>604</v>
      </c>
      <c r="B605" t="s">
        <v>628</v>
      </c>
      <c r="C605">
        <v>50</v>
      </c>
      <c r="D605" t="s">
        <v>35</v>
      </c>
      <c r="E605" t="s">
        <v>14</v>
      </c>
      <c r="F605">
        <v>7767</v>
      </c>
      <c r="G605" s="1">
        <v>44279</v>
      </c>
      <c r="H605">
        <v>1</v>
      </c>
      <c r="I605">
        <v>3</v>
      </c>
      <c r="J605" t="s">
        <v>21</v>
      </c>
      <c r="K605" t="s">
        <v>16</v>
      </c>
      <c r="L605" t="s">
        <v>25</v>
      </c>
    </row>
    <row r="606" spans="1:12" x14ac:dyDescent="0.35">
      <c r="A606">
        <v>605</v>
      </c>
      <c r="B606" t="s">
        <v>629</v>
      </c>
      <c r="C606">
        <v>65</v>
      </c>
      <c r="D606" t="s">
        <v>13</v>
      </c>
      <c r="E606" t="s">
        <v>20</v>
      </c>
      <c r="F606">
        <v>8054</v>
      </c>
      <c r="G606" s="1">
        <v>44565</v>
      </c>
      <c r="H606">
        <v>2</v>
      </c>
      <c r="I606">
        <v>9</v>
      </c>
      <c r="J606" t="s">
        <v>15</v>
      </c>
      <c r="K606" t="s">
        <v>16</v>
      </c>
      <c r="L606" t="s">
        <v>17</v>
      </c>
    </row>
    <row r="607" spans="1:12" x14ac:dyDescent="0.35">
      <c r="A607">
        <v>606</v>
      </c>
      <c r="B607" t="s">
        <v>630</v>
      </c>
      <c r="C607">
        <v>36</v>
      </c>
      <c r="D607" t="s">
        <v>13</v>
      </c>
      <c r="E607" t="s">
        <v>27</v>
      </c>
      <c r="F607">
        <v>5765</v>
      </c>
      <c r="G607" s="1">
        <v>45169</v>
      </c>
      <c r="H607">
        <v>1</v>
      </c>
      <c r="I607">
        <v>17</v>
      </c>
      <c r="J607" t="s">
        <v>21</v>
      </c>
      <c r="K607" t="s">
        <v>16</v>
      </c>
      <c r="L607" t="s">
        <v>17</v>
      </c>
    </row>
    <row r="608" spans="1:12" x14ac:dyDescent="0.35">
      <c r="A608">
        <v>607</v>
      </c>
      <c r="B608" t="s">
        <v>631</v>
      </c>
      <c r="C608">
        <v>54</v>
      </c>
      <c r="D608" t="s">
        <v>35</v>
      </c>
      <c r="E608" t="s">
        <v>14</v>
      </c>
      <c r="F608">
        <v>5240</v>
      </c>
      <c r="G608" s="1">
        <v>42564</v>
      </c>
      <c r="I608">
        <v>12</v>
      </c>
      <c r="J608" t="s">
        <v>21</v>
      </c>
      <c r="K608" t="s">
        <v>16</v>
      </c>
      <c r="L608" t="s">
        <v>23</v>
      </c>
    </row>
    <row r="609" spans="1:12" x14ac:dyDescent="0.35">
      <c r="A609">
        <v>608</v>
      </c>
      <c r="B609" t="s">
        <v>632</v>
      </c>
      <c r="C609">
        <v>48</v>
      </c>
      <c r="D609" t="s">
        <v>13</v>
      </c>
      <c r="E609" t="s">
        <v>20</v>
      </c>
      <c r="F609">
        <v>3845</v>
      </c>
      <c r="G609" s="1">
        <v>42261</v>
      </c>
      <c r="H609">
        <v>4</v>
      </c>
      <c r="I609">
        <v>13</v>
      </c>
      <c r="J609" t="s">
        <v>15</v>
      </c>
      <c r="K609" t="s">
        <v>30</v>
      </c>
      <c r="L609" t="s">
        <v>17</v>
      </c>
    </row>
    <row r="610" spans="1:12" x14ac:dyDescent="0.35">
      <c r="A610">
        <v>609</v>
      </c>
      <c r="B610" t="s">
        <v>633</v>
      </c>
      <c r="C610">
        <v>55</v>
      </c>
      <c r="D610" t="s">
        <v>35</v>
      </c>
      <c r="E610" t="s">
        <v>14</v>
      </c>
      <c r="F610">
        <v>8646</v>
      </c>
      <c r="G610" s="1">
        <v>43183</v>
      </c>
      <c r="H610">
        <v>2</v>
      </c>
      <c r="I610">
        <v>14</v>
      </c>
      <c r="J610" t="s">
        <v>21</v>
      </c>
      <c r="K610" t="s">
        <v>16</v>
      </c>
      <c r="L610" t="s">
        <v>17</v>
      </c>
    </row>
    <row r="611" spans="1:12" x14ac:dyDescent="0.35">
      <c r="A611">
        <v>610</v>
      </c>
      <c r="B611" t="s">
        <v>634</v>
      </c>
      <c r="C611">
        <v>62</v>
      </c>
      <c r="D611" t="s">
        <v>35</v>
      </c>
      <c r="E611" t="s">
        <v>20</v>
      </c>
      <c r="F611">
        <v>4160</v>
      </c>
      <c r="G611" s="1">
        <v>44433</v>
      </c>
      <c r="H611">
        <v>3</v>
      </c>
      <c r="I611">
        <v>12</v>
      </c>
      <c r="J611" t="s">
        <v>15</v>
      </c>
      <c r="K611" t="s">
        <v>30</v>
      </c>
      <c r="L611" t="s">
        <v>17</v>
      </c>
    </row>
    <row r="612" spans="1:12" x14ac:dyDescent="0.35">
      <c r="A612">
        <v>611</v>
      </c>
      <c r="B612" t="s">
        <v>635</v>
      </c>
      <c r="C612">
        <v>50</v>
      </c>
      <c r="D612" t="s">
        <v>35</v>
      </c>
      <c r="E612" t="s">
        <v>20</v>
      </c>
      <c r="F612">
        <v>6272</v>
      </c>
      <c r="G612" s="1">
        <v>43119</v>
      </c>
      <c r="H612">
        <v>0</v>
      </c>
      <c r="I612">
        <v>1</v>
      </c>
      <c r="J612" t="s">
        <v>15</v>
      </c>
      <c r="K612" t="s">
        <v>16</v>
      </c>
      <c r="L612" t="s">
        <v>17</v>
      </c>
    </row>
    <row r="613" spans="1:12" x14ac:dyDescent="0.35">
      <c r="A613">
        <v>612</v>
      </c>
      <c r="B613" t="s">
        <v>636</v>
      </c>
      <c r="C613">
        <v>31</v>
      </c>
      <c r="D613" t="s">
        <v>13</v>
      </c>
      <c r="E613" t="s">
        <v>20</v>
      </c>
      <c r="F613">
        <v>4654</v>
      </c>
      <c r="G613" s="1">
        <v>43952</v>
      </c>
      <c r="I613">
        <v>7</v>
      </c>
      <c r="J613" t="s">
        <v>21</v>
      </c>
      <c r="K613" t="s">
        <v>30</v>
      </c>
      <c r="L613" t="s">
        <v>25</v>
      </c>
    </row>
    <row r="614" spans="1:12" x14ac:dyDescent="0.35">
      <c r="A614">
        <v>613</v>
      </c>
      <c r="B614" t="s">
        <v>637</v>
      </c>
      <c r="C614">
        <v>64</v>
      </c>
      <c r="D614" t="s">
        <v>19</v>
      </c>
      <c r="E614" t="s">
        <v>27</v>
      </c>
      <c r="F614">
        <v>9282</v>
      </c>
      <c r="G614" s="1">
        <v>42649</v>
      </c>
      <c r="I614">
        <v>20</v>
      </c>
      <c r="J614" t="s">
        <v>15</v>
      </c>
      <c r="K614" t="s">
        <v>16</v>
      </c>
      <c r="L614" t="s">
        <v>23</v>
      </c>
    </row>
    <row r="615" spans="1:12" x14ac:dyDescent="0.35">
      <c r="A615">
        <v>614</v>
      </c>
      <c r="B615" t="s">
        <v>345</v>
      </c>
      <c r="C615">
        <v>64</v>
      </c>
      <c r="D615" t="s">
        <v>19</v>
      </c>
      <c r="E615" t="s">
        <v>14</v>
      </c>
      <c r="F615">
        <v>5152</v>
      </c>
      <c r="G615" s="1">
        <v>43590</v>
      </c>
      <c r="I615">
        <v>15</v>
      </c>
      <c r="J615" t="s">
        <v>15</v>
      </c>
      <c r="K615" t="s">
        <v>16</v>
      </c>
      <c r="L615" t="s">
        <v>17</v>
      </c>
    </row>
    <row r="616" spans="1:12" x14ac:dyDescent="0.35">
      <c r="A616">
        <v>615</v>
      </c>
      <c r="B616" t="s">
        <v>638</v>
      </c>
      <c r="C616">
        <v>53</v>
      </c>
      <c r="D616" t="s">
        <v>35</v>
      </c>
      <c r="E616" t="s">
        <v>14</v>
      </c>
      <c r="F616">
        <v>4213</v>
      </c>
      <c r="G616" s="1">
        <v>43272</v>
      </c>
      <c r="H616">
        <v>0</v>
      </c>
      <c r="I616">
        <v>1</v>
      </c>
      <c r="J616" t="s">
        <v>15</v>
      </c>
      <c r="K616" t="s">
        <v>22</v>
      </c>
      <c r="L616" t="s">
        <v>25</v>
      </c>
    </row>
    <row r="617" spans="1:12" x14ac:dyDescent="0.35">
      <c r="A617">
        <v>616</v>
      </c>
      <c r="B617" t="s">
        <v>639</v>
      </c>
      <c r="C617">
        <v>59</v>
      </c>
      <c r="D617" t="s">
        <v>35</v>
      </c>
      <c r="E617" t="s">
        <v>27</v>
      </c>
      <c r="F617">
        <v>3105</v>
      </c>
      <c r="G617" s="1">
        <v>42925</v>
      </c>
      <c r="H617">
        <v>3</v>
      </c>
      <c r="I617">
        <v>9</v>
      </c>
      <c r="J617" t="s">
        <v>15</v>
      </c>
      <c r="K617" t="s">
        <v>22</v>
      </c>
      <c r="L617" t="s">
        <v>17</v>
      </c>
    </row>
    <row r="618" spans="1:12" x14ac:dyDescent="0.35">
      <c r="A618">
        <v>617</v>
      </c>
      <c r="B618" t="s">
        <v>640</v>
      </c>
      <c r="C618">
        <v>19</v>
      </c>
      <c r="D618" t="s">
        <v>19</v>
      </c>
      <c r="E618" t="s">
        <v>27</v>
      </c>
      <c r="F618">
        <v>6934</v>
      </c>
      <c r="G618" s="1">
        <v>43758</v>
      </c>
      <c r="H618">
        <v>4</v>
      </c>
      <c r="I618">
        <v>8</v>
      </c>
      <c r="J618" t="s">
        <v>21</v>
      </c>
      <c r="K618" t="s">
        <v>22</v>
      </c>
      <c r="L618" t="s">
        <v>23</v>
      </c>
    </row>
    <row r="619" spans="1:12" x14ac:dyDescent="0.35">
      <c r="A619">
        <v>618</v>
      </c>
      <c r="B619" t="s">
        <v>641</v>
      </c>
      <c r="C619">
        <v>36</v>
      </c>
      <c r="D619" t="s">
        <v>19</v>
      </c>
      <c r="E619" t="s">
        <v>27</v>
      </c>
      <c r="F619">
        <v>9775</v>
      </c>
      <c r="G619" s="1">
        <v>43428</v>
      </c>
      <c r="H619">
        <v>4</v>
      </c>
      <c r="I619">
        <v>5</v>
      </c>
      <c r="J619" t="s">
        <v>15</v>
      </c>
      <c r="K619" t="s">
        <v>22</v>
      </c>
      <c r="L619" t="s">
        <v>17</v>
      </c>
    </row>
    <row r="620" spans="1:12" x14ac:dyDescent="0.35">
      <c r="A620">
        <v>619</v>
      </c>
      <c r="B620" t="s">
        <v>642</v>
      </c>
      <c r="C620">
        <v>63</v>
      </c>
      <c r="D620" t="s">
        <v>35</v>
      </c>
      <c r="E620" t="s">
        <v>27</v>
      </c>
      <c r="F620">
        <v>5417</v>
      </c>
      <c r="G620" s="1">
        <v>43804</v>
      </c>
      <c r="H620">
        <v>2</v>
      </c>
      <c r="I620">
        <v>11</v>
      </c>
      <c r="J620" t="s">
        <v>15</v>
      </c>
      <c r="K620" t="s">
        <v>22</v>
      </c>
      <c r="L620" t="s">
        <v>23</v>
      </c>
    </row>
    <row r="621" spans="1:12" x14ac:dyDescent="0.35">
      <c r="A621">
        <v>620</v>
      </c>
      <c r="B621" t="s">
        <v>643</v>
      </c>
      <c r="C621">
        <v>31</v>
      </c>
      <c r="D621" t="s">
        <v>13</v>
      </c>
      <c r="E621" t="s">
        <v>27</v>
      </c>
      <c r="F621">
        <v>6675</v>
      </c>
      <c r="G621" s="1">
        <v>43029</v>
      </c>
      <c r="H621">
        <v>0</v>
      </c>
      <c r="I621">
        <v>9</v>
      </c>
      <c r="J621" t="s">
        <v>15</v>
      </c>
      <c r="K621" t="s">
        <v>16</v>
      </c>
      <c r="L621" t="s">
        <v>17</v>
      </c>
    </row>
    <row r="622" spans="1:12" x14ac:dyDescent="0.35">
      <c r="A622">
        <v>621</v>
      </c>
      <c r="B622" t="s">
        <v>644</v>
      </c>
      <c r="C622">
        <v>51</v>
      </c>
      <c r="D622" t="s">
        <v>19</v>
      </c>
      <c r="E622" t="s">
        <v>20</v>
      </c>
      <c r="F622">
        <v>5740</v>
      </c>
      <c r="G622" s="1">
        <v>45198</v>
      </c>
      <c r="I622">
        <v>17</v>
      </c>
      <c r="J622" t="s">
        <v>15</v>
      </c>
      <c r="K622" t="s">
        <v>22</v>
      </c>
      <c r="L622" t="s">
        <v>23</v>
      </c>
    </row>
    <row r="623" spans="1:12" x14ac:dyDescent="0.35">
      <c r="A623">
        <v>622</v>
      </c>
      <c r="B623" t="s">
        <v>645</v>
      </c>
      <c r="C623">
        <v>42</v>
      </c>
      <c r="D623" t="s">
        <v>13</v>
      </c>
      <c r="E623" t="s">
        <v>27</v>
      </c>
      <c r="F623">
        <v>4781</v>
      </c>
      <c r="G623" s="1">
        <v>44946</v>
      </c>
      <c r="I623">
        <v>4</v>
      </c>
      <c r="J623" t="s">
        <v>21</v>
      </c>
      <c r="K623" t="s">
        <v>22</v>
      </c>
      <c r="L623" t="s">
        <v>17</v>
      </c>
    </row>
    <row r="624" spans="1:12" x14ac:dyDescent="0.35">
      <c r="A624">
        <v>623</v>
      </c>
      <c r="B624" t="s">
        <v>646</v>
      </c>
      <c r="C624">
        <v>26</v>
      </c>
      <c r="D624" t="s">
        <v>35</v>
      </c>
      <c r="E624" t="s">
        <v>20</v>
      </c>
      <c r="F624">
        <v>8377</v>
      </c>
      <c r="G624" s="1">
        <v>44735</v>
      </c>
      <c r="H624">
        <v>2</v>
      </c>
      <c r="I624">
        <v>7</v>
      </c>
      <c r="J624" t="s">
        <v>15</v>
      </c>
      <c r="K624" t="s">
        <v>30</v>
      </c>
      <c r="L624" t="s">
        <v>25</v>
      </c>
    </row>
    <row r="625" spans="1:12" x14ac:dyDescent="0.35">
      <c r="A625">
        <v>624</v>
      </c>
      <c r="B625" t="s">
        <v>647</v>
      </c>
      <c r="C625">
        <v>64</v>
      </c>
      <c r="D625" t="s">
        <v>19</v>
      </c>
      <c r="E625" t="s">
        <v>20</v>
      </c>
      <c r="F625">
        <v>8635</v>
      </c>
      <c r="G625" s="1">
        <v>43991</v>
      </c>
      <c r="I625">
        <v>20</v>
      </c>
      <c r="J625" t="s">
        <v>21</v>
      </c>
      <c r="K625" t="s">
        <v>16</v>
      </c>
      <c r="L625" t="s">
        <v>23</v>
      </c>
    </row>
    <row r="626" spans="1:12" x14ac:dyDescent="0.35">
      <c r="A626">
        <v>625</v>
      </c>
      <c r="B626" t="s">
        <v>648</v>
      </c>
      <c r="C626">
        <v>64</v>
      </c>
      <c r="D626" t="s">
        <v>35</v>
      </c>
      <c r="E626" t="s">
        <v>27</v>
      </c>
      <c r="F626">
        <v>4232</v>
      </c>
      <c r="G626" s="1">
        <v>45067</v>
      </c>
      <c r="H626">
        <v>2</v>
      </c>
      <c r="I626">
        <v>10</v>
      </c>
      <c r="J626" t="s">
        <v>15</v>
      </c>
      <c r="K626" t="s">
        <v>16</v>
      </c>
      <c r="L626" t="s">
        <v>17</v>
      </c>
    </row>
    <row r="627" spans="1:12" x14ac:dyDescent="0.35">
      <c r="A627">
        <v>626</v>
      </c>
      <c r="B627" t="s">
        <v>649</v>
      </c>
      <c r="C627">
        <v>23</v>
      </c>
      <c r="D627" t="s">
        <v>13</v>
      </c>
      <c r="E627" t="s">
        <v>14</v>
      </c>
      <c r="F627">
        <v>7218</v>
      </c>
      <c r="G627" s="1">
        <v>42752</v>
      </c>
      <c r="H627">
        <v>1</v>
      </c>
      <c r="I627">
        <v>19</v>
      </c>
      <c r="J627" t="s">
        <v>21</v>
      </c>
      <c r="K627" t="s">
        <v>16</v>
      </c>
      <c r="L627" t="s">
        <v>17</v>
      </c>
    </row>
    <row r="628" spans="1:12" x14ac:dyDescent="0.35">
      <c r="A628">
        <v>627</v>
      </c>
      <c r="B628" t="s">
        <v>650</v>
      </c>
      <c r="C628">
        <v>36</v>
      </c>
      <c r="D628" t="s">
        <v>35</v>
      </c>
      <c r="E628" t="s">
        <v>27</v>
      </c>
      <c r="F628">
        <v>9295</v>
      </c>
      <c r="G628" s="1">
        <v>43894</v>
      </c>
      <c r="I628">
        <v>7</v>
      </c>
      <c r="J628" t="s">
        <v>21</v>
      </c>
      <c r="K628" t="s">
        <v>30</v>
      </c>
      <c r="L628" t="s">
        <v>23</v>
      </c>
    </row>
    <row r="629" spans="1:12" x14ac:dyDescent="0.35">
      <c r="A629">
        <v>628</v>
      </c>
      <c r="B629" t="s">
        <v>651</v>
      </c>
      <c r="C629">
        <v>20</v>
      </c>
      <c r="D629" t="s">
        <v>35</v>
      </c>
      <c r="E629" t="s">
        <v>14</v>
      </c>
      <c r="F629">
        <v>6165</v>
      </c>
      <c r="G629" s="1">
        <v>43091</v>
      </c>
      <c r="H629">
        <v>0</v>
      </c>
      <c r="I629">
        <v>9</v>
      </c>
      <c r="J629" t="s">
        <v>15</v>
      </c>
      <c r="K629" t="s">
        <v>16</v>
      </c>
      <c r="L629" t="s">
        <v>25</v>
      </c>
    </row>
    <row r="630" spans="1:12" x14ac:dyDescent="0.35">
      <c r="A630">
        <v>629</v>
      </c>
      <c r="B630" t="s">
        <v>652</v>
      </c>
      <c r="C630">
        <v>23</v>
      </c>
      <c r="D630" t="s">
        <v>35</v>
      </c>
      <c r="E630" t="s">
        <v>14</v>
      </c>
      <c r="F630">
        <v>3790</v>
      </c>
      <c r="G630" s="1">
        <v>45505</v>
      </c>
      <c r="H630">
        <v>2</v>
      </c>
      <c r="I630">
        <v>13</v>
      </c>
      <c r="J630" t="s">
        <v>15</v>
      </c>
      <c r="K630" t="s">
        <v>16</v>
      </c>
      <c r="L630" t="s">
        <v>25</v>
      </c>
    </row>
    <row r="631" spans="1:12" x14ac:dyDescent="0.35">
      <c r="A631">
        <v>630</v>
      </c>
      <c r="B631" t="s">
        <v>451</v>
      </c>
      <c r="C631">
        <v>52</v>
      </c>
      <c r="D631" t="s">
        <v>19</v>
      </c>
      <c r="E631" t="s">
        <v>20</v>
      </c>
      <c r="F631">
        <v>9364</v>
      </c>
      <c r="G631" s="1">
        <v>43774</v>
      </c>
      <c r="I631">
        <v>5</v>
      </c>
      <c r="J631" t="s">
        <v>15</v>
      </c>
      <c r="K631" t="s">
        <v>16</v>
      </c>
      <c r="L631" t="s">
        <v>23</v>
      </c>
    </row>
    <row r="632" spans="1:12" x14ac:dyDescent="0.35">
      <c r="A632">
        <v>631</v>
      </c>
      <c r="B632" t="s">
        <v>653</v>
      </c>
      <c r="C632">
        <v>21</v>
      </c>
      <c r="D632" t="s">
        <v>13</v>
      </c>
      <c r="E632" t="s">
        <v>20</v>
      </c>
      <c r="F632">
        <v>5970</v>
      </c>
      <c r="G632" s="1">
        <v>42683</v>
      </c>
      <c r="H632">
        <v>0</v>
      </c>
      <c r="I632">
        <v>6</v>
      </c>
      <c r="J632" t="s">
        <v>15</v>
      </c>
      <c r="K632" t="s">
        <v>22</v>
      </c>
      <c r="L632" t="s">
        <v>23</v>
      </c>
    </row>
    <row r="633" spans="1:12" x14ac:dyDescent="0.35">
      <c r="A633">
        <v>632</v>
      </c>
      <c r="B633" t="s">
        <v>654</v>
      </c>
      <c r="C633">
        <v>23</v>
      </c>
      <c r="D633" t="s">
        <v>19</v>
      </c>
      <c r="E633" t="s">
        <v>14</v>
      </c>
      <c r="F633">
        <v>7974</v>
      </c>
      <c r="G633" s="1">
        <v>43307</v>
      </c>
      <c r="I633">
        <v>14</v>
      </c>
      <c r="J633" t="s">
        <v>21</v>
      </c>
      <c r="K633" t="s">
        <v>16</v>
      </c>
      <c r="L633" t="s">
        <v>25</v>
      </c>
    </row>
    <row r="634" spans="1:12" x14ac:dyDescent="0.35">
      <c r="A634">
        <v>633</v>
      </c>
      <c r="B634" t="s">
        <v>655</v>
      </c>
      <c r="C634">
        <v>21</v>
      </c>
      <c r="D634" t="s">
        <v>19</v>
      </c>
      <c r="E634" t="s">
        <v>14</v>
      </c>
      <c r="F634">
        <v>7343</v>
      </c>
      <c r="G634" s="1">
        <v>43497</v>
      </c>
      <c r="I634">
        <v>7</v>
      </c>
      <c r="J634" t="s">
        <v>21</v>
      </c>
      <c r="K634" t="s">
        <v>22</v>
      </c>
      <c r="L634" t="s">
        <v>25</v>
      </c>
    </row>
    <row r="635" spans="1:12" x14ac:dyDescent="0.35">
      <c r="A635">
        <v>634</v>
      </c>
      <c r="B635" t="s">
        <v>656</v>
      </c>
      <c r="C635">
        <v>21</v>
      </c>
      <c r="D635" t="s">
        <v>13</v>
      </c>
      <c r="E635" t="s">
        <v>20</v>
      </c>
      <c r="F635">
        <v>3913</v>
      </c>
      <c r="G635" s="1">
        <v>43062</v>
      </c>
      <c r="H635">
        <v>0</v>
      </c>
      <c r="I635">
        <v>9</v>
      </c>
      <c r="J635" t="s">
        <v>15</v>
      </c>
      <c r="K635" t="s">
        <v>16</v>
      </c>
      <c r="L635" t="s">
        <v>23</v>
      </c>
    </row>
    <row r="636" spans="1:12" x14ac:dyDescent="0.35">
      <c r="A636">
        <v>635</v>
      </c>
      <c r="B636" t="s">
        <v>657</v>
      </c>
      <c r="C636">
        <v>65</v>
      </c>
      <c r="D636" t="s">
        <v>19</v>
      </c>
      <c r="E636" t="s">
        <v>27</v>
      </c>
      <c r="F636">
        <v>4565</v>
      </c>
      <c r="G636" s="1">
        <v>44661</v>
      </c>
      <c r="H636">
        <v>3</v>
      </c>
      <c r="I636">
        <v>2</v>
      </c>
      <c r="J636" t="s">
        <v>15</v>
      </c>
      <c r="K636" t="s">
        <v>16</v>
      </c>
      <c r="L636" t="s">
        <v>17</v>
      </c>
    </row>
    <row r="637" spans="1:12" x14ac:dyDescent="0.35">
      <c r="A637">
        <v>636</v>
      </c>
      <c r="B637" t="s">
        <v>658</v>
      </c>
      <c r="C637">
        <v>37</v>
      </c>
      <c r="D637" t="s">
        <v>13</v>
      </c>
      <c r="E637" t="s">
        <v>20</v>
      </c>
      <c r="F637">
        <v>3622</v>
      </c>
      <c r="G637" s="1">
        <v>42776</v>
      </c>
      <c r="H637">
        <v>0</v>
      </c>
      <c r="I637">
        <v>15</v>
      </c>
      <c r="J637" t="s">
        <v>15</v>
      </c>
      <c r="K637" t="s">
        <v>22</v>
      </c>
      <c r="L637" t="s">
        <v>23</v>
      </c>
    </row>
    <row r="638" spans="1:12" x14ac:dyDescent="0.35">
      <c r="A638">
        <v>637</v>
      </c>
      <c r="B638" t="s">
        <v>659</v>
      </c>
      <c r="C638">
        <v>54</v>
      </c>
      <c r="D638" t="s">
        <v>13</v>
      </c>
      <c r="E638" t="s">
        <v>27</v>
      </c>
      <c r="F638">
        <v>5589</v>
      </c>
      <c r="G638" s="1">
        <v>44426</v>
      </c>
      <c r="I638">
        <v>10</v>
      </c>
      <c r="J638" t="s">
        <v>21</v>
      </c>
      <c r="K638" t="s">
        <v>22</v>
      </c>
      <c r="L638" t="s">
        <v>23</v>
      </c>
    </row>
    <row r="639" spans="1:12" x14ac:dyDescent="0.35">
      <c r="A639">
        <v>638</v>
      </c>
      <c r="B639" t="s">
        <v>660</v>
      </c>
      <c r="C639">
        <v>51</v>
      </c>
      <c r="D639" t="s">
        <v>19</v>
      </c>
      <c r="E639" t="s">
        <v>14</v>
      </c>
      <c r="F639">
        <v>2218</v>
      </c>
      <c r="G639" s="1">
        <v>44967</v>
      </c>
      <c r="I639">
        <v>5</v>
      </c>
      <c r="J639" t="s">
        <v>21</v>
      </c>
      <c r="K639" t="s">
        <v>30</v>
      </c>
      <c r="L639" t="s">
        <v>23</v>
      </c>
    </row>
    <row r="640" spans="1:12" x14ac:dyDescent="0.35">
      <c r="A640">
        <v>639</v>
      </c>
      <c r="B640" t="s">
        <v>661</v>
      </c>
      <c r="C640">
        <v>19</v>
      </c>
      <c r="D640" t="s">
        <v>35</v>
      </c>
      <c r="E640" t="s">
        <v>20</v>
      </c>
      <c r="F640">
        <v>2277</v>
      </c>
      <c r="G640" s="1">
        <v>43759</v>
      </c>
      <c r="H640">
        <v>1</v>
      </c>
      <c r="I640">
        <v>4</v>
      </c>
      <c r="J640" t="s">
        <v>15</v>
      </c>
      <c r="K640" t="s">
        <v>22</v>
      </c>
      <c r="L640" t="s">
        <v>17</v>
      </c>
    </row>
    <row r="641" spans="1:12" x14ac:dyDescent="0.35">
      <c r="A641">
        <v>640</v>
      </c>
      <c r="B641" t="s">
        <v>662</v>
      </c>
      <c r="C641">
        <v>24</v>
      </c>
      <c r="D641" t="s">
        <v>19</v>
      </c>
      <c r="E641" t="s">
        <v>27</v>
      </c>
      <c r="F641">
        <v>8973</v>
      </c>
      <c r="G641" s="1">
        <v>42447</v>
      </c>
      <c r="I641">
        <v>4</v>
      </c>
      <c r="J641" t="s">
        <v>21</v>
      </c>
      <c r="K641" t="s">
        <v>22</v>
      </c>
      <c r="L641" t="s">
        <v>25</v>
      </c>
    </row>
    <row r="642" spans="1:12" x14ac:dyDescent="0.35">
      <c r="A642">
        <v>641</v>
      </c>
      <c r="B642" t="s">
        <v>663</v>
      </c>
      <c r="C642">
        <v>51</v>
      </c>
      <c r="D642" t="s">
        <v>19</v>
      </c>
      <c r="E642" t="s">
        <v>14</v>
      </c>
      <c r="F642">
        <v>3779</v>
      </c>
      <c r="G642" s="1">
        <v>44527</v>
      </c>
      <c r="H642">
        <v>5</v>
      </c>
      <c r="I642">
        <v>20</v>
      </c>
      <c r="J642" t="s">
        <v>21</v>
      </c>
      <c r="K642" t="s">
        <v>30</v>
      </c>
      <c r="L642" t="s">
        <v>17</v>
      </c>
    </row>
    <row r="643" spans="1:12" x14ac:dyDescent="0.35">
      <c r="A643">
        <v>642</v>
      </c>
      <c r="B643" t="s">
        <v>664</v>
      </c>
      <c r="C643">
        <v>37</v>
      </c>
      <c r="D643" t="s">
        <v>35</v>
      </c>
      <c r="E643" t="s">
        <v>20</v>
      </c>
      <c r="F643">
        <v>6354</v>
      </c>
      <c r="G643" s="1">
        <v>44533</v>
      </c>
      <c r="H643">
        <v>0</v>
      </c>
      <c r="I643">
        <v>9</v>
      </c>
      <c r="J643" t="s">
        <v>15</v>
      </c>
      <c r="K643" t="s">
        <v>22</v>
      </c>
      <c r="L643" t="s">
        <v>17</v>
      </c>
    </row>
    <row r="644" spans="1:12" x14ac:dyDescent="0.35">
      <c r="A644">
        <v>643</v>
      </c>
      <c r="B644" t="s">
        <v>665</v>
      </c>
      <c r="C644">
        <v>45</v>
      </c>
      <c r="D644" t="s">
        <v>13</v>
      </c>
      <c r="E644" t="s">
        <v>27</v>
      </c>
      <c r="F644">
        <v>7756</v>
      </c>
      <c r="G644" s="1">
        <v>43286</v>
      </c>
      <c r="H644">
        <v>3</v>
      </c>
      <c r="I644">
        <v>5</v>
      </c>
      <c r="J644" t="s">
        <v>21</v>
      </c>
      <c r="K644" t="s">
        <v>22</v>
      </c>
      <c r="L644" t="s">
        <v>17</v>
      </c>
    </row>
    <row r="645" spans="1:12" x14ac:dyDescent="0.35">
      <c r="A645">
        <v>644</v>
      </c>
      <c r="B645" t="s">
        <v>666</v>
      </c>
      <c r="C645">
        <v>40</v>
      </c>
      <c r="D645" t="s">
        <v>13</v>
      </c>
      <c r="E645" t="s">
        <v>14</v>
      </c>
      <c r="F645">
        <v>6918</v>
      </c>
      <c r="G645" s="1">
        <v>43499</v>
      </c>
      <c r="H645">
        <v>5</v>
      </c>
      <c r="I645">
        <v>1</v>
      </c>
      <c r="J645" t="s">
        <v>15</v>
      </c>
      <c r="K645" t="s">
        <v>22</v>
      </c>
      <c r="L645" t="s">
        <v>17</v>
      </c>
    </row>
    <row r="646" spans="1:12" x14ac:dyDescent="0.35">
      <c r="A646">
        <v>645</v>
      </c>
      <c r="B646" t="s">
        <v>667</v>
      </c>
      <c r="C646">
        <v>33</v>
      </c>
      <c r="D646" t="s">
        <v>19</v>
      </c>
      <c r="E646" t="s">
        <v>27</v>
      </c>
      <c r="F646">
        <v>9323</v>
      </c>
      <c r="G646" s="1">
        <v>43024</v>
      </c>
      <c r="I646">
        <v>10</v>
      </c>
      <c r="J646" t="s">
        <v>15</v>
      </c>
      <c r="K646" t="s">
        <v>30</v>
      </c>
      <c r="L646" t="s">
        <v>25</v>
      </c>
    </row>
    <row r="647" spans="1:12" x14ac:dyDescent="0.35">
      <c r="A647">
        <v>646</v>
      </c>
      <c r="B647" t="s">
        <v>668</v>
      </c>
      <c r="C647">
        <v>37</v>
      </c>
      <c r="D647" t="s">
        <v>35</v>
      </c>
      <c r="E647" t="s">
        <v>14</v>
      </c>
      <c r="F647">
        <v>2899</v>
      </c>
      <c r="G647" s="1">
        <v>44237</v>
      </c>
      <c r="H647">
        <v>2</v>
      </c>
      <c r="I647">
        <v>4</v>
      </c>
      <c r="J647" t="s">
        <v>21</v>
      </c>
      <c r="K647" t="s">
        <v>30</v>
      </c>
      <c r="L647" t="s">
        <v>17</v>
      </c>
    </row>
    <row r="648" spans="1:12" x14ac:dyDescent="0.35">
      <c r="A648">
        <v>647</v>
      </c>
      <c r="B648" t="s">
        <v>669</v>
      </c>
      <c r="C648">
        <v>28</v>
      </c>
      <c r="D648" t="s">
        <v>19</v>
      </c>
      <c r="E648" t="s">
        <v>20</v>
      </c>
      <c r="F648">
        <v>8643</v>
      </c>
      <c r="G648" s="1">
        <v>43578</v>
      </c>
      <c r="H648">
        <v>1</v>
      </c>
      <c r="I648">
        <v>11</v>
      </c>
      <c r="J648" t="s">
        <v>15</v>
      </c>
      <c r="K648" t="s">
        <v>30</v>
      </c>
      <c r="L648" t="s">
        <v>25</v>
      </c>
    </row>
    <row r="649" spans="1:12" x14ac:dyDescent="0.35">
      <c r="A649">
        <v>648</v>
      </c>
      <c r="B649" t="s">
        <v>670</v>
      </c>
      <c r="C649">
        <v>58</v>
      </c>
      <c r="D649" t="s">
        <v>35</v>
      </c>
      <c r="E649" t="s">
        <v>20</v>
      </c>
      <c r="F649">
        <v>4038</v>
      </c>
      <c r="G649" s="1">
        <v>44080</v>
      </c>
      <c r="H649">
        <v>3</v>
      </c>
      <c r="I649">
        <v>13</v>
      </c>
      <c r="J649" t="s">
        <v>15</v>
      </c>
      <c r="K649" t="s">
        <v>22</v>
      </c>
      <c r="L649" t="s">
        <v>23</v>
      </c>
    </row>
    <row r="650" spans="1:12" x14ac:dyDescent="0.35">
      <c r="A650">
        <v>649</v>
      </c>
      <c r="B650" t="s">
        <v>671</v>
      </c>
      <c r="C650">
        <v>19</v>
      </c>
      <c r="D650" t="s">
        <v>19</v>
      </c>
      <c r="E650" t="s">
        <v>20</v>
      </c>
      <c r="F650">
        <v>8687</v>
      </c>
      <c r="G650" s="1">
        <v>42693</v>
      </c>
      <c r="I650">
        <v>9</v>
      </c>
      <c r="J650" t="s">
        <v>15</v>
      </c>
      <c r="K650" t="s">
        <v>16</v>
      </c>
      <c r="L650" t="s">
        <v>25</v>
      </c>
    </row>
    <row r="651" spans="1:12" x14ac:dyDescent="0.35">
      <c r="A651">
        <v>650</v>
      </c>
      <c r="B651" t="s">
        <v>672</v>
      </c>
      <c r="C651">
        <v>36</v>
      </c>
      <c r="D651" t="s">
        <v>13</v>
      </c>
      <c r="E651" t="s">
        <v>27</v>
      </c>
      <c r="F651">
        <v>6907</v>
      </c>
      <c r="G651" s="1">
        <v>42122</v>
      </c>
      <c r="I651">
        <v>6</v>
      </c>
      <c r="J651" t="s">
        <v>21</v>
      </c>
      <c r="K651" t="s">
        <v>30</v>
      </c>
      <c r="L651" t="s">
        <v>25</v>
      </c>
    </row>
    <row r="652" spans="1:12" x14ac:dyDescent="0.35">
      <c r="A652">
        <v>651</v>
      </c>
      <c r="B652" t="s">
        <v>673</v>
      </c>
      <c r="C652">
        <v>57</v>
      </c>
      <c r="D652" t="s">
        <v>13</v>
      </c>
      <c r="E652" t="s">
        <v>14</v>
      </c>
      <c r="F652">
        <v>2850</v>
      </c>
      <c r="G652" s="1">
        <v>43762</v>
      </c>
      <c r="H652">
        <v>0</v>
      </c>
      <c r="I652">
        <v>1</v>
      </c>
      <c r="J652" t="s">
        <v>15</v>
      </c>
      <c r="K652" t="s">
        <v>22</v>
      </c>
      <c r="L652" t="s">
        <v>23</v>
      </c>
    </row>
    <row r="653" spans="1:12" x14ac:dyDescent="0.35">
      <c r="A653">
        <v>652</v>
      </c>
      <c r="B653" t="s">
        <v>674</v>
      </c>
      <c r="C653">
        <v>47</v>
      </c>
      <c r="D653" t="s">
        <v>13</v>
      </c>
      <c r="E653" t="s">
        <v>27</v>
      </c>
      <c r="F653">
        <v>3343</v>
      </c>
      <c r="G653" s="1">
        <v>44587</v>
      </c>
      <c r="I653">
        <v>1</v>
      </c>
      <c r="J653" t="s">
        <v>21</v>
      </c>
      <c r="K653" t="s">
        <v>22</v>
      </c>
      <c r="L653" t="s">
        <v>17</v>
      </c>
    </row>
    <row r="654" spans="1:12" x14ac:dyDescent="0.35">
      <c r="A654">
        <v>653</v>
      </c>
      <c r="B654" t="s">
        <v>675</v>
      </c>
      <c r="C654">
        <v>61</v>
      </c>
      <c r="D654" t="s">
        <v>35</v>
      </c>
      <c r="E654" t="s">
        <v>14</v>
      </c>
      <c r="F654">
        <v>5508</v>
      </c>
      <c r="G654" s="1">
        <v>42466</v>
      </c>
      <c r="H654">
        <v>5</v>
      </c>
      <c r="I654">
        <v>5</v>
      </c>
      <c r="J654" t="s">
        <v>15</v>
      </c>
      <c r="K654" t="s">
        <v>22</v>
      </c>
      <c r="L654" t="s">
        <v>17</v>
      </c>
    </row>
    <row r="655" spans="1:12" x14ac:dyDescent="0.35">
      <c r="A655">
        <v>654</v>
      </c>
      <c r="B655" t="s">
        <v>676</v>
      </c>
      <c r="C655">
        <v>19</v>
      </c>
      <c r="D655" t="s">
        <v>35</v>
      </c>
      <c r="E655" t="s">
        <v>20</v>
      </c>
      <c r="F655">
        <v>3896</v>
      </c>
      <c r="G655" s="1">
        <v>45190</v>
      </c>
      <c r="H655">
        <v>3</v>
      </c>
      <c r="I655">
        <v>12</v>
      </c>
      <c r="J655" t="s">
        <v>21</v>
      </c>
      <c r="K655" t="s">
        <v>22</v>
      </c>
      <c r="L655" t="s">
        <v>17</v>
      </c>
    </row>
    <row r="656" spans="1:12" x14ac:dyDescent="0.35">
      <c r="A656">
        <v>655</v>
      </c>
      <c r="B656" t="s">
        <v>677</v>
      </c>
      <c r="C656">
        <v>59</v>
      </c>
      <c r="D656" t="s">
        <v>19</v>
      </c>
      <c r="E656" t="s">
        <v>14</v>
      </c>
      <c r="F656">
        <v>5042</v>
      </c>
      <c r="G656" s="1">
        <v>43208</v>
      </c>
      <c r="H656">
        <v>2</v>
      </c>
      <c r="I656">
        <v>13</v>
      </c>
      <c r="J656" t="s">
        <v>21</v>
      </c>
      <c r="K656" t="s">
        <v>30</v>
      </c>
      <c r="L656" t="s">
        <v>17</v>
      </c>
    </row>
    <row r="657" spans="1:12" x14ac:dyDescent="0.35">
      <c r="A657">
        <v>656</v>
      </c>
      <c r="B657" t="s">
        <v>678</v>
      </c>
      <c r="C657">
        <v>55</v>
      </c>
      <c r="D657" t="s">
        <v>13</v>
      </c>
      <c r="E657" t="s">
        <v>20</v>
      </c>
      <c r="F657">
        <v>8505</v>
      </c>
      <c r="G657" s="1">
        <v>44918</v>
      </c>
      <c r="I657">
        <v>9</v>
      </c>
      <c r="J657" t="s">
        <v>21</v>
      </c>
      <c r="K657" t="s">
        <v>16</v>
      </c>
      <c r="L657" t="s">
        <v>25</v>
      </c>
    </row>
    <row r="658" spans="1:12" x14ac:dyDescent="0.35">
      <c r="A658">
        <v>657</v>
      </c>
      <c r="B658" t="s">
        <v>679</v>
      </c>
      <c r="C658">
        <v>40</v>
      </c>
      <c r="D658" t="s">
        <v>19</v>
      </c>
      <c r="E658" t="s">
        <v>14</v>
      </c>
      <c r="F658">
        <v>4393</v>
      </c>
      <c r="G658" s="1">
        <v>44186</v>
      </c>
      <c r="I658">
        <v>7</v>
      </c>
      <c r="J658" t="s">
        <v>15</v>
      </c>
      <c r="K658" t="s">
        <v>30</v>
      </c>
      <c r="L658" t="s">
        <v>17</v>
      </c>
    </row>
    <row r="659" spans="1:12" x14ac:dyDescent="0.35">
      <c r="A659">
        <v>658</v>
      </c>
      <c r="B659" t="s">
        <v>680</v>
      </c>
      <c r="C659">
        <v>28</v>
      </c>
      <c r="D659" t="s">
        <v>19</v>
      </c>
      <c r="E659" t="s">
        <v>20</v>
      </c>
      <c r="F659">
        <v>3453</v>
      </c>
      <c r="G659" s="1">
        <v>42856</v>
      </c>
      <c r="I659">
        <v>13</v>
      </c>
      <c r="J659" t="s">
        <v>21</v>
      </c>
      <c r="K659" t="s">
        <v>30</v>
      </c>
      <c r="L659" t="s">
        <v>17</v>
      </c>
    </row>
    <row r="660" spans="1:12" x14ac:dyDescent="0.35">
      <c r="A660">
        <v>659</v>
      </c>
      <c r="B660" t="s">
        <v>681</v>
      </c>
      <c r="C660">
        <v>20</v>
      </c>
      <c r="D660" t="s">
        <v>35</v>
      </c>
      <c r="E660" t="s">
        <v>14</v>
      </c>
      <c r="F660">
        <v>3500</v>
      </c>
      <c r="G660" s="1">
        <v>44054</v>
      </c>
      <c r="H660">
        <v>0</v>
      </c>
      <c r="I660">
        <v>20</v>
      </c>
      <c r="J660" t="s">
        <v>15</v>
      </c>
      <c r="K660" t="s">
        <v>16</v>
      </c>
      <c r="L660" t="s">
        <v>25</v>
      </c>
    </row>
    <row r="661" spans="1:12" x14ac:dyDescent="0.35">
      <c r="A661">
        <v>660</v>
      </c>
      <c r="B661" t="s">
        <v>682</v>
      </c>
      <c r="C661">
        <v>65</v>
      </c>
      <c r="D661" t="s">
        <v>13</v>
      </c>
      <c r="E661" t="s">
        <v>14</v>
      </c>
      <c r="F661">
        <v>5816</v>
      </c>
      <c r="G661" s="1">
        <v>44371</v>
      </c>
      <c r="H661">
        <v>4</v>
      </c>
      <c r="I661">
        <v>9</v>
      </c>
      <c r="J661" t="s">
        <v>15</v>
      </c>
      <c r="K661" t="s">
        <v>30</v>
      </c>
      <c r="L661" t="s">
        <v>23</v>
      </c>
    </row>
    <row r="662" spans="1:12" x14ac:dyDescent="0.35">
      <c r="A662">
        <v>661</v>
      </c>
      <c r="B662" t="s">
        <v>683</v>
      </c>
      <c r="C662">
        <v>48</v>
      </c>
      <c r="D662" t="s">
        <v>13</v>
      </c>
      <c r="E662" t="s">
        <v>14</v>
      </c>
      <c r="F662">
        <v>8150</v>
      </c>
      <c r="G662" s="1">
        <v>42824</v>
      </c>
      <c r="H662">
        <v>0</v>
      </c>
      <c r="I662">
        <v>3</v>
      </c>
      <c r="J662" t="s">
        <v>15</v>
      </c>
      <c r="K662" t="s">
        <v>16</v>
      </c>
      <c r="L662" t="s">
        <v>17</v>
      </c>
    </row>
    <row r="663" spans="1:12" x14ac:dyDescent="0.35">
      <c r="A663">
        <v>662</v>
      </c>
      <c r="B663" t="s">
        <v>684</v>
      </c>
      <c r="C663">
        <v>47</v>
      </c>
      <c r="D663" t="s">
        <v>35</v>
      </c>
      <c r="E663" t="s">
        <v>20</v>
      </c>
      <c r="F663">
        <v>7270</v>
      </c>
      <c r="G663" s="1">
        <v>44906</v>
      </c>
      <c r="H663">
        <v>1</v>
      </c>
      <c r="I663">
        <v>3</v>
      </c>
      <c r="J663" t="s">
        <v>21</v>
      </c>
      <c r="K663" t="s">
        <v>30</v>
      </c>
      <c r="L663" t="s">
        <v>17</v>
      </c>
    </row>
    <row r="664" spans="1:12" x14ac:dyDescent="0.35">
      <c r="A664">
        <v>663</v>
      </c>
      <c r="B664" t="s">
        <v>685</v>
      </c>
      <c r="C664">
        <v>28</v>
      </c>
      <c r="D664" t="s">
        <v>19</v>
      </c>
      <c r="E664" t="s">
        <v>14</v>
      </c>
      <c r="F664">
        <v>6861</v>
      </c>
      <c r="G664" s="1">
        <v>44967</v>
      </c>
      <c r="H664">
        <v>1</v>
      </c>
      <c r="I664">
        <v>12</v>
      </c>
      <c r="J664" t="s">
        <v>21</v>
      </c>
      <c r="K664" t="s">
        <v>30</v>
      </c>
      <c r="L664" t="s">
        <v>17</v>
      </c>
    </row>
    <row r="665" spans="1:12" x14ac:dyDescent="0.35">
      <c r="A665">
        <v>664</v>
      </c>
      <c r="B665" t="s">
        <v>686</v>
      </c>
      <c r="C665">
        <v>51</v>
      </c>
      <c r="D665" t="s">
        <v>19</v>
      </c>
      <c r="E665" t="s">
        <v>27</v>
      </c>
      <c r="F665">
        <v>6903</v>
      </c>
      <c r="G665" s="1">
        <v>43992</v>
      </c>
      <c r="I665">
        <v>9</v>
      </c>
      <c r="J665" t="s">
        <v>15</v>
      </c>
      <c r="K665" t="s">
        <v>30</v>
      </c>
      <c r="L665" t="s">
        <v>17</v>
      </c>
    </row>
    <row r="666" spans="1:12" x14ac:dyDescent="0.35">
      <c r="A666">
        <v>665</v>
      </c>
      <c r="B666" t="s">
        <v>687</v>
      </c>
      <c r="C666">
        <v>43</v>
      </c>
      <c r="D666" t="s">
        <v>13</v>
      </c>
      <c r="E666" t="s">
        <v>20</v>
      </c>
      <c r="F666">
        <v>9053</v>
      </c>
      <c r="G666" s="1">
        <v>45342</v>
      </c>
      <c r="H666">
        <v>1</v>
      </c>
      <c r="I666">
        <v>9</v>
      </c>
      <c r="J666" t="s">
        <v>15</v>
      </c>
      <c r="K666" t="s">
        <v>16</v>
      </c>
      <c r="L666" t="s">
        <v>23</v>
      </c>
    </row>
    <row r="667" spans="1:12" x14ac:dyDescent="0.35">
      <c r="A667">
        <v>666</v>
      </c>
      <c r="B667" t="s">
        <v>688</v>
      </c>
      <c r="C667">
        <v>43</v>
      </c>
      <c r="D667" t="s">
        <v>19</v>
      </c>
      <c r="E667" t="s">
        <v>20</v>
      </c>
      <c r="F667">
        <v>6853</v>
      </c>
      <c r="G667" s="1">
        <v>42975</v>
      </c>
      <c r="I667">
        <v>10</v>
      </c>
      <c r="J667" t="s">
        <v>21</v>
      </c>
      <c r="K667" t="s">
        <v>16</v>
      </c>
      <c r="L667" t="s">
        <v>17</v>
      </c>
    </row>
    <row r="668" spans="1:12" x14ac:dyDescent="0.35">
      <c r="A668">
        <v>667</v>
      </c>
      <c r="B668" t="s">
        <v>689</v>
      </c>
      <c r="C668">
        <v>23</v>
      </c>
      <c r="D668" t="s">
        <v>13</v>
      </c>
      <c r="E668" t="s">
        <v>27</v>
      </c>
      <c r="F668">
        <v>4156</v>
      </c>
      <c r="G668" s="1">
        <v>42313</v>
      </c>
      <c r="I668">
        <v>17</v>
      </c>
      <c r="J668" t="s">
        <v>21</v>
      </c>
      <c r="K668" t="s">
        <v>16</v>
      </c>
      <c r="L668" t="s">
        <v>23</v>
      </c>
    </row>
    <row r="669" spans="1:12" x14ac:dyDescent="0.35">
      <c r="A669">
        <v>668</v>
      </c>
      <c r="B669" t="s">
        <v>690</v>
      </c>
      <c r="C669">
        <v>29</v>
      </c>
      <c r="D669" t="s">
        <v>35</v>
      </c>
      <c r="E669" t="s">
        <v>27</v>
      </c>
      <c r="F669">
        <v>8335</v>
      </c>
      <c r="G669" s="1">
        <v>43832</v>
      </c>
      <c r="I669">
        <v>17</v>
      </c>
      <c r="J669" t="s">
        <v>21</v>
      </c>
      <c r="K669" t="s">
        <v>30</v>
      </c>
      <c r="L669" t="s">
        <v>25</v>
      </c>
    </row>
    <row r="670" spans="1:12" x14ac:dyDescent="0.35">
      <c r="A670">
        <v>669</v>
      </c>
      <c r="B670" t="s">
        <v>691</v>
      </c>
      <c r="C670">
        <v>23</v>
      </c>
      <c r="D670" t="s">
        <v>35</v>
      </c>
      <c r="E670" t="s">
        <v>20</v>
      </c>
      <c r="F670">
        <v>8898</v>
      </c>
      <c r="G670" s="1">
        <v>43930</v>
      </c>
      <c r="H670">
        <v>1</v>
      </c>
      <c r="I670">
        <v>15</v>
      </c>
      <c r="J670" t="s">
        <v>15</v>
      </c>
      <c r="K670" t="s">
        <v>16</v>
      </c>
      <c r="L670" t="s">
        <v>17</v>
      </c>
    </row>
    <row r="671" spans="1:12" x14ac:dyDescent="0.35">
      <c r="A671">
        <v>670</v>
      </c>
      <c r="B671" t="s">
        <v>692</v>
      </c>
      <c r="C671">
        <v>31</v>
      </c>
      <c r="D671" t="s">
        <v>13</v>
      </c>
      <c r="E671" t="s">
        <v>20</v>
      </c>
      <c r="F671">
        <v>6174</v>
      </c>
      <c r="G671" s="1">
        <v>42190</v>
      </c>
      <c r="I671">
        <v>3</v>
      </c>
      <c r="J671" t="s">
        <v>21</v>
      </c>
      <c r="K671" t="s">
        <v>16</v>
      </c>
      <c r="L671" t="s">
        <v>23</v>
      </c>
    </row>
    <row r="672" spans="1:12" x14ac:dyDescent="0.35">
      <c r="A672">
        <v>671</v>
      </c>
      <c r="B672" t="s">
        <v>693</v>
      </c>
      <c r="C672">
        <v>62</v>
      </c>
      <c r="D672" t="s">
        <v>19</v>
      </c>
      <c r="E672" t="s">
        <v>14</v>
      </c>
      <c r="F672">
        <v>7445</v>
      </c>
      <c r="G672" s="1">
        <v>42859</v>
      </c>
      <c r="H672">
        <v>2</v>
      </c>
      <c r="I672">
        <v>19</v>
      </c>
      <c r="J672" t="s">
        <v>21</v>
      </c>
      <c r="K672" t="s">
        <v>30</v>
      </c>
      <c r="L672" t="s">
        <v>25</v>
      </c>
    </row>
    <row r="673" spans="1:12" x14ac:dyDescent="0.35">
      <c r="A673">
        <v>672</v>
      </c>
      <c r="B673" t="s">
        <v>694</v>
      </c>
      <c r="C673">
        <v>28</v>
      </c>
      <c r="D673" t="s">
        <v>19</v>
      </c>
      <c r="E673" t="s">
        <v>27</v>
      </c>
      <c r="F673">
        <v>3478</v>
      </c>
      <c r="G673" s="1">
        <v>43954</v>
      </c>
      <c r="H673">
        <v>3</v>
      </c>
      <c r="I673">
        <v>16</v>
      </c>
      <c r="J673" t="s">
        <v>21</v>
      </c>
      <c r="K673" t="s">
        <v>22</v>
      </c>
      <c r="L673" t="s">
        <v>17</v>
      </c>
    </row>
    <row r="674" spans="1:12" x14ac:dyDescent="0.35">
      <c r="A674">
        <v>673</v>
      </c>
      <c r="B674" t="s">
        <v>695</v>
      </c>
      <c r="C674">
        <v>35</v>
      </c>
      <c r="D674" t="s">
        <v>13</v>
      </c>
      <c r="E674" t="s">
        <v>27</v>
      </c>
      <c r="F674">
        <v>4196</v>
      </c>
      <c r="G674" s="1">
        <v>44870</v>
      </c>
      <c r="H674">
        <v>5</v>
      </c>
      <c r="I674">
        <v>6</v>
      </c>
      <c r="J674" t="s">
        <v>21</v>
      </c>
      <c r="K674" t="s">
        <v>16</v>
      </c>
      <c r="L674" t="s">
        <v>25</v>
      </c>
    </row>
    <row r="675" spans="1:12" x14ac:dyDescent="0.35">
      <c r="A675">
        <v>674</v>
      </c>
      <c r="B675" t="s">
        <v>696</v>
      </c>
      <c r="C675">
        <v>20</v>
      </c>
      <c r="D675" t="s">
        <v>13</v>
      </c>
      <c r="E675" t="s">
        <v>20</v>
      </c>
      <c r="F675">
        <v>2372</v>
      </c>
      <c r="G675" s="1">
        <v>43386</v>
      </c>
      <c r="H675">
        <v>4</v>
      </c>
      <c r="I675">
        <v>8</v>
      </c>
      <c r="J675" t="s">
        <v>15</v>
      </c>
      <c r="K675" t="s">
        <v>30</v>
      </c>
      <c r="L675" t="s">
        <v>25</v>
      </c>
    </row>
    <row r="676" spans="1:12" x14ac:dyDescent="0.35">
      <c r="A676">
        <v>675</v>
      </c>
      <c r="B676" t="s">
        <v>697</v>
      </c>
      <c r="C676">
        <v>60</v>
      </c>
      <c r="D676" t="s">
        <v>35</v>
      </c>
      <c r="E676" t="s">
        <v>14</v>
      </c>
      <c r="F676">
        <v>3436</v>
      </c>
      <c r="G676" s="1">
        <v>44491</v>
      </c>
      <c r="H676">
        <v>1</v>
      </c>
      <c r="I676">
        <v>10</v>
      </c>
      <c r="J676" t="s">
        <v>15</v>
      </c>
      <c r="K676" t="s">
        <v>22</v>
      </c>
      <c r="L676" t="s">
        <v>17</v>
      </c>
    </row>
    <row r="677" spans="1:12" x14ac:dyDescent="0.35">
      <c r="A677">
        <v>676</v>
      </c>
      <c r="B677" t="s">
        <v>698</v>
      </c>
      <c r="C677">
        <v>59</v>
      </c>
      <c r="D677" t="s">
        <v>19</v>
      </c>
      <c r="E677" t="s">
        <v>20</v>
      </c>
      <c r="F677">
        <v>8057</v>
      </c>
      <c r="G677" s="1">
        <v>44070</v>
      </c>
      <c r="I677">
        <v>6</v>
      </c>
      <c r="J677" t="s">
        <v>15</v>
      </c>
      <c r="K677" t="s">
        <v>16</v>
      </c>
      <c r="L677" t="s">
        <v>23</v>
      </c>
    </row>
    <row r="678" spans="1:12" x14ac:dyDescent="0.35">
      <c r="A678">
        <v>677</v>
      </c>
      <c r="B678" t="s">
        <v>699</v>
      </c>
      <c r="C678">
        <v>40</v>
      </c>
      <c r="D678" t="s">
        <v>19</v>
      </c>
      <c r="E678" t="s">
        <v>27</v>
      </c>
      <c r="F678">
        <v>5765</v>
      </c>
      <c r="G678" s="1">
        <v>42629</v>
      </c>
      <c r="I678">
        <v>18</v>
      </c>
      <c r="J678" t="s">
        <v>21</v>
      </c>
      <c r="K678" t="s">
        <v>16</v>
      </c>
      <c r="L678" t="s">
        <v>23</v>
      </c>
    </row>
    <row r="679" spans="1:12" x14ac:dyDescent="0.35">
      <c r="A679">
        <v>678</v>
      </c>
      <c r="B679" t="s">
        <v>700</v>
      </c>
      <c r="C679">
        <v>35</v>
      </c>
      <c r="D679" t="s">
        <v>35</v>
      </c>
      <c r="E679" t="s">
        <v>14</v>
      </c>
      <c r="F679">
        <v>5900</v>
      </c>
      <c r="G679" s="1">
        <v>42119</v>
      </c>
      <c r="H679">
        <v>0</v>
      </c>
      <c r="I679">
        <v>12</v>
      </c>
      <c r="J679" t="s">
        <v>15</v>
      </c>
      <c r="K679" t="s">
        <v>30</v>
      </c>
      <c r="L679" t="s">
        <v>23</v>
      </c>
    </row>
    <row r="680" spans="1:12" x14ac:dyDescent="0.35">
      <c r="A680">
        <v>679</v>
      </c>
      <c r="B680" t="s">
        <v>701</v>
      </c>
      <c r="C680">
        <v>42</v>
      </c>
      <c r="D680" t="s">
        <v>13</v>
      </c>
      <c r="E680" t="s">
        <v>27</v>
      </c>
      <c r="F680">
        <v>8696</v>
      </c>
      <c r="G680" s="1">
        <v>45269</v>
      </c>
      <c r="I680">
        <v>11</v>
      </c>
      <c r="J680" t="s">
        <v>21</v>
      </c>
      <c r="K680" t="s">
        <v>16</v>
      </c>
      <c r="L680" t="s">
        <v>25</v>
      </c>
    </row>
    <row r="681" spans="1:12" x14ac:dyDescent="0.35">
      <c r="A681">
        <v>680</v>
      </c>
      <c r="B681" t="s">
        <v>702</v>
      </c>
      <c r="C681">
        <v>58</v>
      </c>
      <c r="D681" t="s">
        <v>13</v>
      </c>
      <c r="E681" t="s">
        <v>14</v>
      </c>
      <c r="F681">
        <v>2477</v>
      </c>
      <c r="G681" s="1">
        <v>45573</v>
      </c>
      <c r="H681">
        <v>0</v>
      </c>
      <c r="I681">
        <v>4</v>
      </c>
      <c r="J681" t="s">
        <v>15</v>
      </c>
      <c r="K681" t="s">
        <v>16</v>
      </c>
      <c r="L681" t="s">
        <v>25</v>
      </c>
    </row>
    <row r="682" spans="1:12" x14ac:dyDescent="0.35">
      <c r="A682">
        <v>681</v>
      </c>
      <c r="B682" t="s">
        <v>703</v>
      </c>
      <c r="C682">
        <v>19</v>
      </c>
      <c r="D682" t="s">
        <v>13</v>
      </c>
      <c r="E682" t="s">
        <v>27</v>
      </c>
      <c r="F682">
        <v>6725</v>
      </c>
      <c r="G682" s="1">
        <v>44859</v>
      </c>
      <c r="H682">
        <v>3</v>
      </c>
      <c r="I682">
        <v>6</v>
      </c>
      <c r="J682" t="s">
        <v>15</v>
      </c>
      <c r="K682" t="s">
        <v>30</v>
      </c>
      <c r="L682" t="s">
        <v>25</v>
      </c>
    </row>
    <row r="683" spans="1:12" x14ac:dyDescent="0.35">
      <c r="A683">
        <v>682</v>
      </c>
      <c r="B683" t="s">
        <v>704</v>
      </c>
      <c r="C683">
        <v>29</v>
      </c>
      <c r="D683" t="s">
        <v>19</v>
      </c>
      <c r="E683" t="s">
        <v>20</v>
      </c>
      <c r="F683">
        <v>7514</v>
      </c>
      <c r="G683" s="1">
        <v>44768</v>
      </c>
      <c r="H683">
        <v>1</v>
      </c>
      <c r="I683">
        <v>8</v>
      </c>
      <c r="J683" t="s">
        <v>21</v>
      </c>
      <c r="K683" t="s">
        <v>16</v>
      </c>
      <c r="L683" t="s">
        <v>17</v>
      </c>
    </row>
    <row r="684" spans="1:12" x14ac:dyDescent="0.35">
      <c r="A684">
        <v>683</v>
      </c>
      <c r="B684" t="s">
        <v>705</v>
      </c>
      <c r="C684">
        <v>21</v>
      </c>
      <c r="D684" t="s">
        <v>19</v>
      </c>
      <c r="E684" t="s">
        <v>20</v>
      </c>
      <c r="F684">
        <v>4750</v>
      </c>
      <c r="G684" s="1">
        <v>43900</v>
      </c>
      <c r="H684">
        <v>2</v>
      </c>
      <c r="I684">
        <v>8</v>
      </c>
      <c r="J684" t="s">
        <v>21</v>
      </c>
      <c r="K684" t="s">
        <v>16</v>
      </c>
      <c r="L684" t="s">
        <v>25</v>
      </c>
    </row>
    <row r="685" spans="1:12" x14ac:dyDescent="0.35">
      <c r="A685">
        <v>684</v>
      </c>
      <c r="B685" t="s">
        <v>706</v>
      </c>
      <c r="C685">
        <v>48</v>
      </c>
      <c r="D685" t="s">
        <v>35</v>
      </c>
      <c r="E685" t="s">
        <v>14</v>
      </c>
      <c r="F685">
        <v>5309</v>
      </c>
      <c r="G685" s="1">
        <v>45014</v>
      </c>
      <c r="H685">
        <v>1</v>
      </c>
      <c r="I685">
        <v>5</v>
      </c>
      <c r="J685" t="s">
        <v>15</v>
      </c>
      <c r="K685" t="s">
        <v>16</v>
      </c>
      <c r="L685" t="s">
        <v>25</v>
      </c>
    </row>
    <row r="686" spans="1:12" x14ac:dyDescent="0.35">
      <c r="A686">
        <v>685</v>
      </c>
      <c r="B686" t="s">
        <v>707</v>
      </c>
      <c r="C686">
        <v>50</v>
      </c>
      <c r="D686" t="s">
        <v>13</v>
      </c>
      <c r="E686" t="s">
        <v>27</v>
      </c>
      <c r="F686">
        <v>9782</v>
      </c>
      <c r="G686" s="1">
        <v>42114</v>
      </c>
      <c r="I686">
        <v>9</v>
      </c>
      <c r="J686" t="s">
        <v>21</v>
      </c>
      <c r="K686" t="s">
        <v>30</v>
      </c>
      <c r="L686" t="s">
        <v>17</v>
      </c>
    </row>
    <row r="687" spans="1:12" x14ac:dyDescent="0.35">
      <c r="A687">
        <v>686</v>
      </c>
      <c r="B687" t="s">
        <v>708</v>
      </c>
      <c r="C687">
        <v>27</v>
      </c>
      <c r="D687" t="s">
        <v>19</v>
      </c>
      <c r="E687" t="s">
        <v>14</v>
      </c>
      <c r="F687">
        <v>6589</v>
      </c>
      <c r="G687" s="1">
        <v>42659</v>
      </c>
      <c r="I687">
        <v>3</v>
      </c>
      <c r="J687" t="s">
        <v>21</v>
      </c>
      <c r="K687" t="s">
        <v>16</v>
      </c>
      <c r="L687" t="s">
        <v>23</v>
      </c>
    </row>
    <row r="688" spans="1:12" x14ac:dyDescent="0.35">
      <c r="A688">
        <v>687</v>
      </c>
      <c r="B688" t="s">
        <v>709</v>
      </c>
      <c r="C688">
        <v>20</v>
      </c>
      <c r="D688" t="s">
        <v>35</v>
      </c>
      <c r="E688" t="s">
        <v>20</v>
      </c>
      <c r="F688">
        <v>4483</v>
      </c>
      <c r="G688" s="1">
        <v>42580</v>
      </c>
      <c r="H688">
        <v>2</v>
      </c>
      <c r="I688">
        <v>19</v>
      </c>
      <c r="J688" t="s">
        <v>15</v>
      </c>
      <c r="K688" t="s">
        <v>16</v>
      </c>
      <c r="L688" t="s">
        <v>17</v>
      </c>
    </row>
    <row r="689" spans="1:12" x14ac:dyDescent="0.35">
      <c r="A689">
        <v>688</v>
      </c>
      <c r="B689" t="s">
        <v>710</v>
      </c>
      <c r="C689">
        <v>20</v>
      </c>
      <c r="D689" t="s">
        <v>13</v>
      </c>
      <c r="E689" t="s">
        <v>27</v>
      </c>
      <c r="F689">
        <v>9044</v>
      </c>
      <c r="G689" s="1">
        <v>44477</v>
      </c>
      <c r="H689">
        <v>0</v>
      </c>
      <c r="I689">
        <v>7</v>
      </c>
      <c r="J689" t="s">
        <v>15</v>
      </c>
      <c r="K689" t="s">
        <v>22</v>
      </c>
      <c r="L689" t="s">
        <v>25</v>
      </c>
    </row>
    <row r="690" spans="1:12" x14ac:dyDescent="0.35">
      <c r="A690">
        <v>689</v>
      </c>
      <c r="B690" t="s">
        <v>711</v>
      </c>
      <c r="C690">
        <v>29</v>
      </c>
      <c r="D690" t="s">
        <v>35</v>
      </c>
      <c r="E690" t="s">
        <v>14</v>
      </c>
      <c r="F690">
        <v>3504</v>
      </c>
      <c r="G690" s="1">
        <v>42556</v>
      </c>
      <c r="H690">
        <v>0</v>
      </c>
      <c r="I690">
        <v>10</v>
      </c>
      <c r="J690" t="s">
        <v>15</v>
      </c>
      <c r="K690" t="s">
        <v>30</v>
      </c>
      <c r="L690" t="s">
        <v>23</v>
      </c>
    </row>
    <row r="691" spans="1:12" x14ac:dyDescent="0.35">
      <c r="A691">
        <v>690</v>
      </c>
      <c r="B691" t="s">
        <v>712</v>
      </c>
      <c r="C691">
        <v>35</v>
      </c>
      <c r="D691" t="s">
        <v>13</v>
      </c>
      <c r="E691" t="s">
        <v>14</v>
      </c>
      <c r="F691">
        <v>5531</v>
      </c>
      <c r="G691" s="1">
        <v>42748</v>
      </c>
      <c r="H691">
        <v>0</v>
      </c>
      <c r="I691">
        <v>7</v>
      </c>
      <c r="J691" t="s">
        <v>15</v>
      </c>
      <c r="K691" t="s">
        <v>30</v>
      </c>
      <c r="L691" t="s">
        <v>25</v>
      </c>
    </row>
    <row r="692" spans="1:12" x14ac:dyDescent="0.35">
      <c r="A692">
        <v>691</v>
      </c>
      <c r="B692" t="s">
        <v>713</v>
      </c>
      <c r="C692">
        <v>60</v>
      </c>
      <c r="D692" t="s">
        <v>19</v>
      </c>
      <c r="E692" t="s">
        <v>27</v>
      </c>
      <c r="F692">
        <v>4255</v>
      </c>
      <c r="G692" s="1">
        <v>44451</v>
      </c>
      <c r="I692">
        <v>17</v>
      </c>
      <c r="J692" t="s">
        <v>15</v>
      </c>
      <c r="K692" t="s">
        <v>16</v>
      </c>
      <c r="L692" t="s">
        <v>23</v>
      </c>
    </row>
    <row r="693" spans="1:12" x14ac:dyDescent="0.35">
      <c r="A693">
        <v>692</v>
      </c>
      <c r="B693" t="s">
        <v>714</v>
      </c>
      <c r="C693">
        <v>47</v>
      </c>
      <c r="D693" t="s">
        <v>35</v>
      </c>
      <c r="E693" t="s">
        <v>20</v>
      </c>
      <c r="F693">
        <v>2145</v>
      </c>
      <c r="G693" s="1">
        <v>44431</v>
      </c>
      <c r="H693">
        <v>0</v>
      </c>
      <c r="I693">
        <v>10</v>
      </c>
      <c r="J693" t="s">
        <v>15</v>
      </c>
      <c r="K693" t="s">
        <v>30</v>
      </c>
      <c r="L693" t="s">
        <v>17</v>
      </c>
    </row>
    <row r="694" spans="1:12" x14ac:dyDescent="0.35">
      <c r="A694">
        <v>693</v>
      </c>
      <c r="B694" t="s">
        <v>715</v>
      </c>
      <c r="C694">
        <v>63</v>
      </c>
      <c r="D694" t="s">
        <v>35</v>
      </c>
      <c r="E694" t="s">
        <v>27</v>
      </c>
      <c r="F694">
        <v>7897</v>
      </c>
      <c r="G694" s="1">
        <v>45524</v>
      </c>
      <c r="H694">
        <v>0</v>
      </c>
      <c r="I694">
        <v>20</v>
      </c>
      <c r="J694" t="s">
        <v>15</v>
      </c>
      <c r="K694" t="s">
        <v>16</v>
      </c>
      <c r="L694" t="s">
        <v>23</v>
      </c>
    </row>
    <row r="695" spans="1:12" x14ac:dyDescent="0.35">
      <c r="A695">
        <v>694</v>
      </c>
      <c r="B695" t="s">
        <v>716</v>
      </c>
      <c r="C695">
        <v>61</v>
      </c>
      <c r="D695" t="s">
        <v>19</v>
      </c>
      <c r="E695" t="s">
        <v>27</v>
      </c>
      <c r="F695">
        <v>3742</v>
      </c>
      <c r="G695" s="1">
        <v>42964</v>
      </c>
      <c r="I695">
        <v>16</v>
      </c>
      <c r="J695" t="s">
        <v>15</v>
      </c>
      <c r="K695" t="s">
        <v>16</v>
      </c>
      <c r="L695" t="s">
        <v>23</v>
      </c>
    </row>
    <row r="696" spans="1:12" x14ac:dyDescent="0.35">
      <c r="A696">
        <v>695</v>
      </c>
      <c r="B696" t="s">
        <v>717</v>
      </c>
      <c r="C696">
        <v>50</v>
      </c>
      <c r="D696" t="s">
        <v>13</v>
      </c>
      <c r="E696" t="s">
        <v>14</v>
      </c>
      <c r="F696">
        <v>4721</v>
      </c>
      <c r="G696" s="1">
        <v>45604</v>
      </c>
      <c r="H696">
        <v>5</v>
      </c>
      <c r="I696">
        <v>16</v>
      </c>
      <c r="J696" t="s">
        <v>15</v>
      </c>
      <c r="K696" t="s">
        <v>22</v>
      </c>
      <c r="L696" t="s">
        <v>23</v>
      </c>
    </row>
    <row r="697" spans="1:12" x14ac:dyDescent="0.35">
      <c r="A697">
        <v>696</v>
      </c>
      <c r="B697" t="s">
        <v>718</v>
      </c>
      <c r="C697">
        <v>62</v>
      </c>
      <c r="D697" t="s">
        <v>19</v>
      </c>
      <c r="E697" t="s">
        <v>14</v>
      </c>
      <c r="F697">
        <v>2873</v>
      </c>
      <c r="G697" s="1">
        <v>43726</v>
      </c>
      <c r="H697">
        <v>3</v>
      </c>
      <c r="I697">
        <v>1</v>
      </c>
      <c r="J697" t="s">
        <v>21</v>
      </c>
      <c r="K697" t="s">
        <v>30</v>
      </c>
      <c r="L697" t="s">
        <v>25</v>
      </c>
    </row>
    <row r="698" spans="1:12" x14ac:dyDescent="0.35">
      <c r="A698">
        <v>697</v>
      </c>
      <c r="B698" t="s">
        <v>719</v>
      </c>
      <c r="C698">
        <v>61</v>
      </c>
      <c r="D698" t="s">
        <v>13</v>
      </c>
      <c r="E698" t="s">
        <v>27</v>
      </c>
      <c r="F698">
        <v>3398</v>
      </c>
      <c r="G698" s="1">
        <v>43753</v>
      </c>
      <c r="I698">
        <v>4</v>
      </c>
      <c r="J698" t="s">
        <v>21</v>
      </c>
      <c r="K698" t="s">
        <v>30</v>
      </c>
      <c r="L698" t="s">
        <v>17</v>
      </c>
    </row>
    <row r="699" spans="1:12" x14ac:dyDescent="0.35">
      <c r="A699">
        <v>698</v>
      </c>
      <c r="B699" t="s">
        <v>720</v>
      </c>
      <c r="C699">
        <v>22</v>
      </c>
      <c r="D699" t="s">
        <v>35</v>
      </c>
      <c r="E699" t="s">
        <v>27</v>
      </c>
      <c r="F699">
        <v>4927</v>
      </c>
      <c r="G699" s="1">
        <v>42503</v>
      </c>
      <c r="H699">
        <v>5</v>
      </c>
      <c r="I699">
        <v>20</v>
      </c>
      <c r="J699" t="s">
        <v>15</v>
      </c>
      <c r="K699" t="s">
        <v>22</v>
      </c>
      <c r="L699" t="s">
        <v>23</v>
      </c>
    </row>
    <row r="700" spans="1:12" x14ac:dyDescent="0.35">
      <c r="A700">
        <v>699</v>
      </c>
      <c r="B700" t="s">
        <v>721</v>
      </c>
      <c r="C700">
        <v>48</v>
      </c>
      <c r="D700" t="s">
        <v>19</v>
      </c>
      <c r="E700" t="s">
        <v>20</v>
      </c>
      <c r="F700">
        <v>2106</v>
      </c>
      <c r="G700" s="1">
        <v>43889</v>
      </c>
      <c r="H700">
        <v>2</v>
      </c>
      <c r="I700">
        <v>3</v>
      </c>
      <c r="J700" t="s">
        <v>15</v>
      </c>
      <c r="K700" t="s">
        <v>30</v>
      </c>
      <c r="L700" t="s">
        <v>17</v>
      </c>
    </row>
    <row r="701" spans="1:12" x14ac:dyDescent="0.35">
      <c r="A701">
        <v>700</v>
      </c>
      <c r="B701" t="s">
        <v>722</v>
      </c>
      <c r="C701">
        <v>39</v>
      </c>
      <c r="D701" t="s">
        <v>13</v>
      </c>
      <c r="E701" t="s">
        <v>27</v>
      </c>
      <c r="F701">
        <v>7614</v>
      </c>
      <c r="G701" s="1">
        <v>44277</v>
      </c>
      <c r="H701">
        <v>0</v>
      </c>
      <c r="I701">
        <v>10</v>
      </c>
      <c r="J701" t="s">
        <v>15</v>
      </c>
      <c r="K701" t="s">
        <v>16</v>
      </c>
      <c r="L701" t="s">
        <v>23</v>
      </c>
    </row>
    <row r="702" spans="1:12" x14ac:dyDescent="0.35">
      <c r="A702">
        <v>701</v>
      </c>
      <c r="B702" t="s">
        <v>723</v>
      </c>
      <c r="C702">
        <v>44</v>
      </c>
      <c r="D702" t="s">
        <v>13</v>
      </c>
      <c r="E702" t="s">
        <v>27</v>
      </c>
      <c r="F702">
        <v>8634</v>
      </c>
      <c r="G702" s="1">
        <v>44255</v>
      </c>
      <c r="I702">
        <v>3</v>
      </c>
      <c r="J702" t="s">
        <v>21</v>
      </c>
      <c r="K702" t="s">
        <v>16</v>
      </c>
      <c r="L702" t="s">
        <v>23</v>
      </c>
    </row>
    <row r="703" spans="1:12" x14ac:dyDescent="0.35">
      <c r="A703">
        <v>702</v>
      </c>
      <c r="B703" t="s">
        <v>724</v>
      </c>
      <c r="C703">
        <v>43</v>
      </c>
      <c r="D703" t="s">
        <v>13</v>
      </c>
      <c r="E703" t="s">
        <v>27</v>
      </c>
      <c r="F703">
        <v>4925</v>
      </c>
      <c r="G703" s="1">
        <v>42515</v>
      </c>
      <c r="H703">
        <v>0</v>
      </c>
      <c r="I703">
        <v>3</v>
      </c>
      <c r="J703" t="s">
        <v>15</v>
      </c>
      <c r="K703" t="s">
        <v>16</v>
      </c>
      <c r="L703" t="s">
        <v>23</v>
      </c>
    </row>
    <row r="704" spans="1:12" x14ac:dyDescent="0.35">
      <c r="A704">
        <v>703</v>
      </c>
      <c r="B704" t="s">
        <v>725</v>
      </c>
      <c r="C704">
        <v>53</v>
      </c>
      <c r="D704" t="s">
        <v>35</v>
      </c>
      <c r="E704" t="s">
        <v>14</v>
      </c>
      <c r="F704">
        <v>5273</v>
      </c>
      <c r="G704" s="1">
        <v>44404</v>
      </c>
      <c r="H704">
        <v>1</v>
      </c>
      <c r="I704">
        <v>4</v>
      </c>
      <c r="J704" t="s">
        <v>21</v>
      </c>
      <c r="K704" t="s">
        <v>16</v>
      </c>
      <c r="L704" t="s">
        <v>17</v>
      </c>
    </row>
    <row r="705" spans="1:12" x14ac:dyDescent="0.35">
      <c r="A705">
        <v>704</v>
      </c>
      <c r="B705" t="s">
        <v>726</v>
      </c>
      <c r="C705">
        <v>42</v>
      </c>
      <c r="D705" t="s">
        <v>19</v>
      </c>
      <c r="E705" t="s">
        <v>27</v>
      </c>
      <c r="F705">
        <v>9621</v>
      </c>
      <c r="G705" s="1">
        <v>43422</v>
      </c>
      <c r="H705">
        <v>2</v>
      </c>
      <c r="I705">
        <v>16</v>
      </c>
      <c r="J705" t="s">
        <v>15</v>
      </c>
      <c r="K705" t="s">
        <v>22</v>
      </c>
      <c r="L705" t="s">
        <v>17</v>
      </c>
    </row>
    <row r="706" spans="1:12" x14ac:dyDescent="0.35">
      <c r="A706">
        <v>705</v>
      </c>
      <c r="B706" t="s">
        <v>727</v>
      </c>
      <c r="C706">
        <v>39</v>
      </c>
      <c r="D706" t="s">
        <v>35</v>
      </c>
      <c r="E706" t="s">
        <v>27</v>
      </c>
      <c r="F706">
        <v>7371</v>
      </c>
      <c r="G706" s="1">
        <v>42768</v>
      </c>
      <c r="H706">
        <v>1</v>
      </c>
      <c r="I706">
        <v>4</v>
      </c>
      <c r="J706" t="s">
        <v>21</v>
      </c>
      <c r="K706" t="s">
        <v>30</v>
      </c>
      <c r="L706" t="s">
        <v>17</v>
      </c>
    </row>
    <row r="707" spans="1:12" x14ac:dyDescent="0.35">
      <c r="A707">
        <v>706</v>
      </c>
      <c r="B707" t="s">
        <v>728</v>
      </c>
      <c r="C707">
        <v>28</v>
      </c>
      <c r="D707" t="s">
        <v>13</v>
      </c>
      <c r="E707" t="s">
        <v>20</v>
      </c>
      <c r="F707">
        <v>7873</v>
      </c>
      <c r="G707" s="1">
        <v>44814</v>
      </c>
      <c r="H707">
        <v>3</v>
      </c>
      <c r="I707">
        <v>2</v>
      </c>
      <c r="J707" t="s">
        <v>15</v>
      </c>
      <c r="K707" t="s">
        <v>30</v>
      </c>
      <c r="L707" t="s">
        <v>17</v>
      </c>
    </row>
    <row r="708" spans="1:12" x14ac:dyDescent="0.35">
      <c r="A708">
        <v>707</v>
      </c>
      <c r="B708" t="s">
        <v>729</v>
      </c>
      <c r="C708">
        <v>42</v>
      </c>
      <c r="D708" t="s">
        <v>35</v>
      </c>
      <c r="E708" t="s">
        <v>27</v>
      </c>
      <c r="F708">
        <v>9871</v>
      </c>
      <c r="G708" s="1">
        <v>43290</v>
      </c>
      <c r="I708">
        <v>5</v>
      </c>
      <c r="J708" t="s">
        <v>21</v>
      </c>
      <c r="K708" t="s">
        <v>22</v>
      </c>
      <c r="L708" t="s">
        <v>25</v>
      </c>
    </row>
    <row r="709" spans="1:12" x14ac:dyDescent="0.35">
      <c r="A709">
        <v>708</v>
      </c>
      <c r="B709" t="s">
        <v>730</v>
      </c>
      <c r="C709">
        <v>51</v>
      </c>
      <c r="D709" t="s">
        <v>13</v>
      </c>
      <c r="E709" t="s">
        <v>20</v>
      </c>
      <c r="F709">
        <v>4164</v>
      </c>
      <c r="G709" s="1">
        <v>44085</v>
      </c>
      <c r="H709">
        <v>3</v>
      </c>
      <c r="I709">
        <v>8</v>
      </c>
      <c r="J709" t="s">
        <v>21</v>
      </c>
      <c r="K709" t="s">
        <v>16</v>
      </c>
      <c r="L709" t="s">
        <v>25</v>
      </c>
    </row>
    <row r="710" spans="1:12" x14ac:dyDescent="0.35">
      <c r="A710">
        <v>709</v>
      </c>
      <c r="B710" t="s">
        <v>731</v>
      </c>
      <c r="C710">
        <v>23</v>
      </c>
      <c r="D710" t="s">
        <v>35</v>
      </c>
      <c r="E710" t="s">
        <v>14</v>
      </c>
      <c r="F710">
        <v>5648</v>
      </c>
      <c r="G710" s="1">
        <v>44017</v>
      </c>
      <c r="H710">
        <v>0</v>
      </c>
      <c r="I710">
        <v>19</v>
      </c>
      <c r="J710" t="s">
        <v>15</v>
      </c>
      <c r="K710" t="s">
        <v>16</v>
      </c>
      <c r="L710" t="s">
        <v>25</v>
      </c>
    </row>
    <row r="711" spans="1:12" x14ac:dyDescent="0.35">
      <c r="A711">
        <v>710</v>
      </c>
      <c r="B711" t="s">
        <v>732</v>
      </c>
      <c r="C711">
        <v>54</v>
      </c>
      <c r="D711" t="s">
        <v>13</v>
      </c>
      <c r="E711" t="s">
        <v>27</v>
      </c>
      <c r="F711">
        <v>9592</v>
      </c>
      <c r="G711" s="1">
        <v>43985</v>
      </c>
      <c r="H711">
        <v>0</v>
      </c>
      <c r="I711">
        <v>1</v>
      </c>
      <c r="J711" t="s">
        <v>15</v>
      </c>
      <c r="K711" t="s">
        <v>16</v>
      </c>
      <c r="L711" t="s">
        <v>17</v>
      </c>
    </row>
    <row r="712" spans="1:12" x14ac:dyDescent="0.35">
      <c r="A712">
        <v>711</v>
      </c>
      <c r="B712" t="s">
        <v>733</v>
      </c>
      <c r="C712">
        <v>57</v>
      </c>
      <c r="D712" t="s">
        <v>13</v>
      </c>
      <c r="E712" t="s">
        <v>27</v>
      </c>
      <c r="F712">
        <v>2096</v>
      </c>
      <c r="G712" s="1">
        <v>42645</v>
      </c>
      <c r="H712">
        <v>5</v>
      </c>
      <c r="I712">
        <v>1</v>
      </c>
      <c r="J712" t="s">
        <v>21</v>
      </c>
      <c r="K712" t="s">
        <v>16</v>
      </c>
      <c r="L712" t="s">
        <v>17</v>
      </c>
    </row>
    <row r="713" spans="1:12" x14ac:dyDescent="0.35">
      <c r="A713">
        <v>712</v>
      </c>
      <c r="B713" t="s">
        <v>734</v>
      </c>
      <c r="C713">
        <v>40</v>
      </c>
      <c r="D713" t="s">
        <v>13</v>
      </c>
      <c r="E713" t="s">
        <v>27</v>
      </c>
      <c r="F713">
        <v>4386</v>
      </c>
      <c r="G713" s="1">
        <v>45404</v>
      </c>
      <c r="H713">
        <v>1</v>
      </c>
      <c r="I713">
        <v>19</v>
      </c>
      <c r="J713" t="s">
        <v>21</v>
      </c>
      <c r="K713" t="s">
        <v>30</v>
      </c>
      <c r="L713" t="s">
        <v>17</v>
      </c>
    </row>
    <row r="714" spans="1:12" x14ac:dyDescent="0.35">
      <c r="A714">
        <v>713</v>
      </c>
      <c r="B714" t="s">
        <v>735</v>
      </c>
      <c r="C714">
        <v>47</v>
      </c>
      <c r="D714" t="s">
        <v>35</v>
      </c>
      <c r="E714" t="s">
        <v>14</v>
      </c>
      <c r="F714">
        <v>7123</v>
      </c>
      <c r="G714" s="1">
        <v>43559</v>
      </c>
      <c r="H714">
        <v>0</v>
      </c>
      <c r="I714">
        <v>11</v>
      </c>
      <c r="J714" t="s">
        <v>15</v>
      </c>
      <c r="K714" t="s">
        <v>16</v>
      </c>
      <c r="L714" t="s">
        <v>17</v>
      </c>
    </row>
    <row r="715" spans="1:12" x14ac:dyDescent="0.35">
      <c r="A715">
        <v>714</v>
      </c>
      <c r="B715" t="s">
        <v>736</v>
      </c>
      <c r="C715">
        <v>41</v>
      </c>
      <c r="D715" t="s">
        <v>13</v>
      </c>
      <c r="E715" t="s">
        <v>27</v>
      </c>
      <c r="F715">
        <v>3591</v>
      </c>
      <c r="G715" s="1">
        <v>42269</v>
      </c>
      <c r="H715">
        <v>2</v>
      </c>
      <c r="I715">
        <v>18</v>
      </c>
      <c r="J715" t="s">
        <v>21</v>
      </c>
      <c r="K715" t="s">
        <v>22</v>
      </c>
      <c r="L715" t="s">
        <v>25</v>
      </c>
    </row>
    <row r="716" spans="1:12" x14ac:dyDescent="0.35">
      <c r="A716">
        <v>715</v>
      </c>
      <c r="B716" t="s">
        <v>737</v>
      </c>
      <c r="C716">
        <v>22</v>
      </c>
      <c r="D716" t="s">
        <v>13</v>
      </c>
      <c r="E716" t="s">
        <v>27</v>
      </c>
      <c r="F716">
        <v>5449</v>
      </c>
      <c r="G716" s="1">
        <v>42439</v>
      </c>
      <c r="H716">
        <v>3</v>
      </c>
      <c r="I716">
        <v>2</v>
      </c>
      <c r="J716" t="s">
        <v>21</v>
      </c>
      <c r="K716" t="s">
        <v>22</v>
      </c>
      <c r="L716" t="s">
        <v>23</v>
      </c>
    </row>
    <row r="717" spans="1:12" x14ac:dyDescent="0.35">
      <c r="A717">
        <v>716</v>
      </c>
      <c r="B717" t="s">
        <v>738</v>
      </c>
      <c r="C717">
        <v>26</v>
      </c>
      <c r="D717" t="s">
        <v>19</v>
      </c>
      <c r="E717" t="s">
        <v>20</v>
      </c>
      <c r="F717">
        <v>4664</v>
      </c>
      <c r="G717" s="1">
        <v>45275</v>
      </c>
      <c r="I717">
        <v>16</v>
      </c>
      <c r="J717" t="s">
        <v>21</v>
      </c>
      <c r="K717" t="s">
        <v>30</v>
      </c>
      <c r="L717" t="s">
        <v>23</v>
      </c>
    </row>
    <row r="718" spans="1:12" x14ac:dyDescent="0.35">
      <c r="A718">
        <v>717</v>
      </c>
      <c r="B718" t="s">
        <v>739</v>
      </c>
      <c r="C718">
        <v>20</v>
      </c>
      <c r="D718" t="s">
        <v>19</v>
      </c>
      <c r="E718" t="s">
        <v>27</v>
      </c>
      <c r="F718">
        <v>7345</v>
      </c>
      <c r="G718" s="1">
        <v>41984</v>
      </c>
      <c r="I718">
        <v>11</v>
      </c>
      <c r="J718" t="s">
        <v>21</v>
      </c>
      <c r="K718" t="s">
        <v>16</v>
      </c>
      <c r="L718" t="s">
        <v>25</v>
      </c>
    </row>
    <row r="719" spans="1:12" x14ac:dyDescent="0.35">
      <c r="A719">
        <v>718</v>
      </c>
      <c r="B719" t="s">
        <v>740</v>
      </c>
      <c r="C719">
        <v>45</v>
      </c>
      <c r="D719" t="s">
        <v>35</v>
      </c>
      <c r="E719" t="s">
        <v>20</v>
      </c>
      <c r="F719">
        <v>7615</v>
      </c>
      <c r="G719" s="1">
        <v>44313</v>
      </c>
      <c r="I719">
        <v>7</v>
      </c>
      <c r="J719" t="s">
        <v>21</v>
      </c>
      <c r="K719" t="s">
        <v>30</v>
      </c>
      <c r="L719" t="s">
        <v>23</v>
      </c>
    </row>
    <row r="720" spans="1:12" x14ac:dyDescent="0.35">
      <c r="A720">
        <v>719</v>
      </c>
      <c r="B720" t="s">
        <v>741</v>
      </c>
      <c r="C720">
        <v>27</v>
      </c>
      <c r="D720" t="s">
        <v>19</v>
      </c>
      <c r="E720" t="s">
        <v>14</v>
      </c>
      <c r="F720">
        <v>6899</v>
      </c>
      <c r="G720" s="1">
        <v>42982</v>
      </c>
      <c r="H720">
        <v>5</v>
      </c>
      <c r="I720">
        <v>3</v>
      </c>
      <c r="J720" t="s">
        <v>21</v>
      </c>
      <c r="K720" t="s">
        <v>16</v>
      </c>
      <c r="L720" t="s">
        <v>25</v>
      </c>
    </row>
    <row r="721" spans="1:12" x14ac:dyDescent="0.35">
      <c r="A721">
        <v>720</v>
      </c>
      <c r="B721" t="s">
        <v>742</v>
      </c>
      <c r="C721">
        <v>60</v>
      </c>
      <c r="D721" t="s">
        <v>19</v>
      </c>
      <c r="E721" t="s">
        <v>27</v>
      </c>
      <c r="F721">
        <v>5107</v>
      </c>
      <c r="G721" s="1">
        <v>43066</v>
      </c>
      <c r="H721">
        <v>5</v>
      </c>
      <c r="I721">
        <v>4</v>
      </c>
      <c r="J721" t="s">
        <v>15</v>
      </c>
      <c r="K721" t="s">
        <v>30</v>
      </c>
      <c r="L721" t="s">
        <v>17</v>
      </c>
    </row>
    <row r="722" spans="1:12" x14ac:dyDescent="0.35">
      <c r="A722">
        <v>721</v>
      </c>
      <c r="B722" t="s">
        <v>743</v>
      </c>
      <c r="C722">
        <v>49</v>
      </c>
      <c r="D722" t="s">
        <v>13</v>
      </c>
      <c r="E722" t="s">
        <v>27</v>
      </c>
      <c r="F722">
        <v>5126</v>
      </c>
      <c r="G722" s="1">
        <v>42209</v>
      </c>
      <c r="H722">
        <v>4</v>
      </c>
      <c r="I722">
        <v>13</v>
      </c>
      <c r="J722" t="s">
        <v>21</v>
      </c>
      <c r="K722" t="s">
        <v>22</v>
      </c>
      <c r="L722" t="s">
        <v>25</v>
      </c>
    </row>
    <row r="723" spans="1:12" x14ac:dyDescent="0.35">
      <c r="A723">
        <v>722</v>
      </c>
      <c r="B723" t="s">
        <v>744</v>
      </c>
      <c r="C723">
        <v>60</v>
      </c>
      <c r="D723" t="s">
        <v>19</v>
      </c>
      <c r="E723" t="s">
        <v>27</v>
      </c>
      <c r="F723">
        <v>2131</v>
      </c>
      <c r="G723" s="1">
        <v>42172</v>
      </c>
      <c r="H723">
        <v>4</v>
      </c>
      <c r="I723">
        <v>19</v>
      </c>
      <c r="J723" t="s">
        <v>15</v>
      </c>
      <c r="K723" t="s">
        <v>16</v>
      </c>
      <c r="L723" t="s">
        <v>23</v>
      </c>
    </row>
    <row r="724" spans="1:12" x14ac:dyDescent="0.35">
      <c r="A724">
        <v>723</v>
      </c>
      <c r="B724" t="s">
        <v>745</v>
      </c>
      <c r="C724">
        <v>57</v>
      </c>
      <c r="D724" t="s">
        <v>35</v>
      </c>
      <c r="E724" t="s">
        <v>14</v>
      </c>
      <c r="F724">
        <v>6974</v>
      </c>
      <c r="G724" s="1">
        <v>45517</v>
      </c>
      <c r="H724">
        <v>4</v>
      </c>
      <c r="I724">
        <v>6</v>
      </c>
      <c r="J724" t="s">
        <v>15</v>
      </c>
      <c r="K724" t="s">
        <v>22</v>
      </c>
      <c r="L724" t="s">
        <v>23</v>
      </c>
    </row>
    <row r="725" spans="1:12" x14ac:dyDescent="0.35">
      <c r="A725">
        <v>724</v>
      </c>
      <c r="B725" t="s">
        <v>746</v>
      </c>
      <c r="C725">
        <v>49</v>
      </c>
      <c r="D725" t="s">
        <v>35</v>
      </c>
      <c r="E725" t="s">
        <v>27</v>
      </c>
      <c r="F725">
        <v>7298</v>
      </c>
      <c r="G725" s="1">
        <v>44095</v>
      </c>
      <c r="I725">
        <v>18</v>
      </c>
      <c r="J725" t="s">
        <v>21</v>
      </c>
      <c r="K725" t="s">
        <v>22</v>
      </c>
      <c r="L725" t="s">
        <v>23</v>
      </c>
    </row>
    <row r="726" spans="1:12" x14ac:dyDescent="0.35">
      <c r="A726">
        <v>725</v>
      </c>
      <c r="B726" t="s">
        <v>747</v>
      </c>
      <c r="C726">
        <v>36</v>
      </c>
      <c r="D726" t="s">
        <v>13</v>
      </c>
      <c r="E726" t="s">
        <v>27</v>
      </c>
      <c r="F726">
        <v>4936</v>
      </c>
      <c r="G726" s="1">
        <v>44664</v>
      </c>
      <c r="H726">
        <v>0</v>
      </c>
      <c r="I726">
        <v>12</v>
      </c>
      <c r="J726" t="s">
        <v>15</v>
      </c>
      <c r="K726" t="s">
        <v>30</v>
      </c>
      <c r="L726" t="s">
        <v>23</v>
      </c>
    </row>
    <row r="727" spans="1:12" x14ac:dyDescent="0.35">
      <c r="A727">
        <v>726</v>
      </c>
      <c r="B727" t="s">
        <v>748</v>
      </c>
      <c r="C727">
        <v>64</v>
      </c>
      <c r="D727" t="s">
        <v>19</v>
      </c>
      <c r="E727" t="s">
        <v>20</v>
      </c>
      <c r="F727">
        <v>2962</v>
      </c>
      <c r="G727" s="1">
        <v>43571</v>
      </c>
      <c r="I727">
        <v>17</v>
      </c>
      <c r="J727" t="s">
        <v>21</v>
      </c>
      <c r="K727" t="s">
        <v>22</v>
      </c>
      <c r="L727" t="s">
        <v>17</v>
      </c>
    </row>
    <row r="728" spans="1:12" x14ac:dyDescent="0.35">
      <c r="A728">
        <v>727</v>
      </c>
      <c r="B728" t="s">
        <v>749</v>
      </c>
      <c r="C728">
        <v>36</v>
      </c>
      <c r="D728" t="s">
        <v>35</v>
      </c>
      <c r="E728" t="s">
        <v>20</v>
      </c>
      <c r="F728">
        <v>2321</v>
      </c>
      <c r="G728" s="1">
        <v>45271</v>
      </c>
      <c r="H728">
        <v>0</v>
      </c>
      <c r="I728">
        <v>1</v>
      </c>
      <c r="J728" t="s">
        <v>15</v>
      </c>
      <c r="K728" t="s">
        <v>30</v>
      </c>
      <c r="L728" t="s">
        <v>23</v>
      </c>
    </row>
    <row r="729" spans="1:12" x14ac:dyDescent="0.35">
      <c r="A729">
        <v>728</v>
      </c>
      <c r="B729" t="s">
        <v>750</v>
      </c>
      <c r="C729">
        <v>60</v>
      </c>
      <c r="D729" t="s">
        <v>35</v>
      </c>
      <c r="E729" t="s">
        <v>14</v>
      </c>
      <c r="F729">
        <v>5312</v>
      </c>
      <c r="G729" s="1">
        <v>44468</v>
      </c>
      <c r="H729">
        <v>0</v>
      </c>
      <c r="I729">
        <v>8</v>
      </c>
      <c r="J729" t="s">
        <v>15</v>
      </c>
      <c r="K729" t="s">
        <v>22</v>
      </c>
      <c r="L729" t="s">
        <v>17</v>
      </c>
    </row>
    <row r="730" spans="1:12" x14ac:dyDescent="0.35">
      <c r="A730">
        <v>729</v>
      </c>
      <c r="B730" t="s">
        <v>751</v>
      </c>
      <c r="C730">
        <v>60</v>
      </c>
      <c r="D730" t="s">
        <v>19</v>
      </c>
      <c r="E730" t="s">
        <v>14</v>
      </c>
      <c r="F730">
        <v>4524</v>
      </c>
      <c r="G730" s="1">
        <v>42160</v>
      </c>
      <c r="H730">
        <v>3</v>
      </c>
      <c r="I730">
        <v>3</v>
      </c>
      <c r="J730" t="s">
        <v>21</v>
      </c>
      <c r="K730" t="s">
        <v>16</v>
      </c>
      <c r="L730" t="s">
        <v>25</v>
      </c>
    </row>
    <row r="731" spans="1:12" x14ac:dyDescent="0.35">
      <c r="A731">
        <v>730</v>
      </c>
      <c r="B731" t="s">
        <v>752</v>
      </c>
      <c r="C731">
        <v>65</v>
      </c>
      <c r="D731" t="s">
        <v>13</v>
      </c>
      <c r="E731" t="s">
        <v>27</v>
      </c>
      <c r="F731">
        <v>9136</v>
      </c>
      <c r="G731" s="1">
        <v>44017</v>
      </c>
      <c r="I731">
        <v>3</v>
      </c>
      <c r="J731" t="s">
        <v>21</v>
      </c>
      <c r="K731" t="s">
        <v>30</v>
      </c>
      <c r="L731" t="s">
        <v>25</v>
      </c>
    </row>
    <row r="732" spans="1:12" x14ac:dyDescent="0.35">
      <c r="A732">
        <v>731</v>
      </c>
      <c r="B732" t="s">
        <v>753</v>
      </c>
      <c r="C732">
        <v>40</v>
      </c>
      <c r="D732" t="s">
        <v>13</v>
      </c>
      <c r="E732" t="s">
        <v>27</v>
      </c>
      <c r="F732">
        <v>6352</v>
      </c>
      <c r="G732" s="1">
        <v>43985</v>
      </c>
      <c r="H732">
        <v>2</v>
      </c>
      <c r="I732">
        <v>4</v>
      </c>
      <c r="J732" t="s">
        <v>15</v>
      </c>
      <c r="K732" t="s">
        <v>22</v>
      </c>
      <c r="L732" t="s">
        <v>25</v>
      </c>
    </row>
    <row r="733" spans="1:12" x14ac:dyDescent="0.35">
      <c r="A733">
        <v>732</v>
      </c>
      <c r="B733" t="s">
        <v>754</v>
      </c>
      <c r="C733">
        <v>36</v>
      </c>
      <c r="D733" t="s">
        <v>35</v>
      </c>
      <c r="E733" t="s">
        <v>14</v>
      </c>
      <c r="F733">
        <v>7378</v>
      </c>
      <c r="G733" s="1">
        <v>42669</v>
      </c>
      <c r="H733">
        <v>0</v>
      </c>
      <c r="I733">
        <v>2</v>
      </c>
      <c r="J733" t="s">
        <v>15</v>
      </c>
      <c r="K733" t="s">
        <v>30</v>
      </c>
      <c r="L733" t="s">
        <v>25</v>
      </c>
    </row>
    <row r="734" spans="1:12" x14ac:dyDescent="0.35">
      <c r="A734">
        <v>733</v>
      </c>
      <c r="B734" t="s">
        <v>755</v>
      </c>
      <c r="C734">
        <v>21</v>
      </c>
      <c r="D734" t="s">
        <v>35</v>
      </c>
      <c r="E734" t="s">
        <v>14</v>
      </c>
      <c r="F734">
        <v>8147</v>
      </c>
      <c r="G734" s="1">
        <v>44649</v>
      </c>
      <c r="H734">
        <v>5</v>
      </c>
      <c r="I734">
        <v>2</v>
      </c>
      <c r="J734" t="s">
        <v>21</v>
      </c>
      <c r="K734" t="s">
        <v>30</v>
      </c>
      <c r="L734" t="s">
        <v>25</v>
      </c>
    </row>
    <row r="735" spans="1:12" x14ac:dyDescent="0.35">
      <c r="A735">
        <v>734</v>
      </c>
      <c r="B735" t="s">
        <v>756</v>
      </c>
      <c r="C735">
        <v>44</v>
      </c>
      <c r="D735" t="s">
        <v>35</v>
      </c>
      <c r="E735" t="s">
        <v>14</v>
      </c>
      <c r="F735">
        <v>5551</v>
      </c>
      <c r="G735" s="1">
        <v>44452</v>
      </c>
      <c r="H735">
        <v>3</v>
      </c>
      <c r="I735">
        <v>17</v>
      </c>
      <c r="J735" t="s">
        <v>15</v>
      </c>
      <c r="K735" t="s">
        <v>30</v>
      </c>
      <c r="L735" t="s">
        <v>17</v>
      </c>
    </row>
    <row r="736" spans="1:12" x14ac:dyDescent="0.35">
      <c r="A736">
        <v>735</v>
      </c>
      <c r="B736" t="s">
        <v>757</v>
      </c>
      <c r="C736">
        <v>44</v>
      </c>
      <c r="D736" t="s">
        <v>13</v>
      </c>
      <c r="E736" t="s">
        <v>20</v>
      </c>
      <c r="F736">
        <v>2683</v>
      </c>
      <c r="G736" s="1">
        <v>43373</v>
      </c>
      <c r="H736">
        <v>3</v>
      </c>
      <c r="I736">
        <v>3</v>
      </c>
      <c r="J736" t="s">
        <v>15</v>
      </c>
      <c r="K736" t="s">
        <v>22</v>
      </c>
      <c r="L736" t="s">
        <v>25</v>
      </c>
    </row>
    <row r="737" spans="1:12" x14ac:dyDescent="0.35">
      <c r="A737">
        <v>736</v>
      </c>
      <c r="B737" t="s">
        <v>758</v>
      </c>
      <c r="C737">
        <v>25</v>
      </c>
      <c r="D737" t="s">
        <v>35</v>
      </c>
      <c r="E737" t="s">
        <v>27</v>
      </c>
      <c r="F737">
        <v>9392</v>
      </c>
      <c r="G737" s="1">
        <v>45402</v>
      </c>
      <c r="I737">
        <v>17</v>
      </c>
      <c r="J737" t="s">
        <v>21</v>
      </c>
      <c r="K737" t="s">
        <v>16</v>
      </c>
      <c r="L737" t="s">
        <v>25</v>
      </c>
    </row>
    <row r="738" spans="1:12" x14ac:dyDescent="0.35">
      <c r="A738">
        <v>737</v>
      </c>
      <c r="B738" t="s">
        <v>759</v>
      </c>
      <c r="C738">
        <v>24</v>
      </c>
      <c r="D738" t="s">
        <v>13</v>
      </c>
      <c r="E738" t="s">
        <v>14</v>
      </c>
      <c r="F738">
        <v>2727</v>
      </c>
      <c r="G738" s="1">
        <v>44172</v>
      </c>
      <c r="I738">
        <v>1</v>
      </c>
      <c r="J738" t="s">
        <v>21</v>
      </c>
      <c r="K738" t="s">
        <v>30</v>
      </c>
      <c r="L738" t="s">
        <v>17</v>
      </c>
    </row>
    <row r="739" spans="1:12" x14ac:dyDescent="0.35">
      <c r="A739">
        <v>738</v>
      </c>
      <c r="B739" t="s">
        <v>760</v>
      </c>
      <c r="C739">
        <v>25</v>
      </c>
      <c r="D739" t="s">
        <v>13</v>
      </c>
      <c r="E739" t="s">
        <v>20</v>
      </c>
      <c r="F739">
        <v>2797</v>
      </c>
      <c r="G739" s="1">
        <v>44281</v>
      </c>
      <c r="H739">
        <v>2</v>
      </c>
      <c r="I739">
        <v>17</v>
      </c>
      <c r="J739" t="s">
        <v>21</v>
      </c>
      <c r="K739" t="s">
        <v>16</v>
      </c>
      <c r="L739" t="s">
        <v>17</v>
      </c>
    </row>
    <row r="740" spans="1:12" x14ac:dyDescent="0.35">
      <c r="A740">
        <v>739</v>
      </c>
      <c r="B740" t="s">
        <v>761</v>
      </c>
      <c r="C740">
        <v>36</v>
      </c>
      <c r="D740" t="s">
        <v>13</v>
      </c>
      <c r="E740" t="s">
        <v>20</v>
      </c>
      <c r="F740">
        <v>2709</v>
      </c>
      <c r="G740" s="1">
        <v>44446</v>
      </c>
      <c r="I740">
        <v>9</v>
      </c>
      <c r="J740" t="s">
        <v>21</v>
      </c>
      <c r="K740" t="s">
        <v>22</v>
      </c>
      <c r="L740" t="s">
        <v>17</v>
      </c>
    </row>
    <row r="741" spans="1:12" x14ac:dyDescent="0.35">
      <c r="A741">
        <v>740</v>
      </c>
      <c r="B741" t="s">
        <v>762</v>
      </c>
      <c r="C741">
        <v>44</v>
      </c>
      <c r="D741" t="s">
        <v>19</v>
      </c>
      <c r="E741" t="s">
        <v>27</v>
      </c>
      <c r="F741">
        <v>3062</v>
      </c>
      <c r="G741" s="1">
        <v>44224</v>
      </c>
      <c r="H741">
        <v>1</v>
      </c>
      <c r="I741">
        <v>3</v>
      </c>
      <c r="J741" t="s">
        <v>15</v>
      </c>
      <c r="K741" t="s">
        <v>16</v>
      </c>
      <c r="L741" t="s">
        <v>17</v>
      </c>
    </row>
    <row r="742" spans="1:12" x14ac:dyDescent="0.35">
      <c r="A742">
        <v>741</v>
      </c>
      <c r="B742" t="s">
        <v>763</v>
      </c>
      <c r="C742">
        <v>41</v>
      </c>
      <c r="D742" t="s">
        <v>13</v>
      </c>
      <c r="E742" t="s">
        <v>20</v>
      </c>
      <c r="F742">
        <v>8189</v>
      </c>
      <c r="G742" s="1">
        <v>42655</v>
      </c>
      <c r="H742">
        <v>0</v>
      </c>
      <c r="I742">
        <v>3</v>
      </c>
      <c r="J742" t="s">
        <v>15</v>
      </c>
      <c r="K742" t="s">
        <v>30</v>
      </c>
      <c r="L742" t="s">
        <v>25</v>
      </c>
    </row>
    <row r="743" spans="1:12" x14ac:dyDescent="0.35">
      <c r="A743">
        <v>742</v>
      </c>
      <c r="B743" t="s">
        <v>764</v>
      </c>
      <c r="C743">
        <v>25</v>
      </c>
      <c r="D743" t="s">
        <v>13</v>
      </c>
      <c r="E743" t="s">
        <v>27</v>
      </c>
      <c r="F743">
        <v>3647</v>
      </c>
      <c r="G743" s="1">
        <v>44122</v>
      </c>
      <c r="H743">
        <v>2</v>
      </c>
      <c r="I743">
        <v>19</v>
      </c>
      <c r="J743" t="s">
        <v>21</v>
      </c>
      <c r="K743" t="s">
        <v>16</v>
      </c>
      <c r="L743" t="s">
        <v>23</v>
      </c>
    </row>
    <row r="744" spans="1:12" x14ac:dyDescent="0.35">
      <c r="A744">
        <v>743</v>
      </c>
      <c r="B744" t="s">
        <v>765</v>
      </c>
      <c r="C744">
        <v>41</v>
      </c>
      <c r="D744" t="s">
        <v>13</v>
      </c>
      <c r="E744" t="s">
        <v>20</v>
      </c>
      <c r="F744">
        <v>9409</v>
      </c>
      <c r="G744" s="1">
        <v>45186</v>
      </c>
      <c r="I744">
        <v>16</v>
      </c>
      <c r="J744" t="s">
        <v>21</v>
      </c>
      <c r="K744" t="s">
        <v>16</v>
      </c>
      <c r="L744" t="s">
        <v>25</v>
      </c>
    </row>
    <row r="745" spans="1:12" x14ac:dyDescent="0.35">
      <c r="A745">
        <v>744</v>
      </c>
      <c r="B745" t="s">
        <v>766</v>
      </c>
      <c r="C745">
        <v>34</v>
      </c>
      <c r="D745" t="s">
        <v>13</v>
      </c>
      <c r="E745" t="s">
        <v>20</v>
      </c>
      <c r="F745">
        <v>2786</v>
      </c>
      <c r="G745" s="1">
        <v>42943</v>
      </c>
      <c r="H745">
        <v>1</v>
      </c>
      <c r="I745">
        <v>6</v>
      </c>
      <c r="J745" t="s">
        <v>15</v>
      </c>
      <c r="K745" t="s">
        <v>22</v>
      </c>
      <c r="L745" t="s">
        <v>23</v>
      </c>
    </row>
    <row r="746" spans="1:12" x14ac:dyDescent="0.35">
      <c r="A746">
        <v>745</v>
      </c>
      <c r="B746" t="s">
        <v>767</v>
      </c>
      <c r="C746">
        <v>51</v>
      </c>
      <c r="D746" t="s">
        <v>19</v>
      </c>
      <c r="E746" t="s">
        <v>14</v>
      </c>
      <c r="F746">
        <v>2892</v>
      </c>
      <c r="G746" s="1">
        <v>42649</v>
      </c>
      <c r="I746">
        <v>8</v>
      </c>
      <c r="J746" t="s">
        <v>15</v>
      </c>
      <c r="K746" t="s">
        <v>22</v>
      </c>
      <c r="L746" t="s">
        <v>17</v>
      </c>
    </row>
    <row r="747" spans="1:12" x14ac:dyDescent="0.35">
      <c r="A747">
        <v>746</v>
      </c>
      <c r="B747" t="s">
        <v>768</v>
      </c>
      <c r="C747">
        <v>51</v>
      </c>
      <c r="D747" t="s">
        <v>35</v>
      </c>
      <c r="E747" t="s">
        <v>20</v>
      </c>
      <c r="F747">
        <v>8009</v>
      </c>
      <c r="G747" s="1">
        <v>44179</v>
      </c>
      <c r="I747">
        <v>15</v>
      </c>
      <c r="J747" t="s">
        <v>21</v>
      </c>
      <c r="K747" t="s">
        <v>30</v>
      </c>
      <c r="L747" t="s">
        <v>17</v>
      </c>
    </row>
    <row r="748" spans="1:12" x14ac:dyDescent="0.35">
      <c r="A748">
        <v>747</v>
      </c>
      <c r="B748" t="s">
        <v>769</v>
      </c>
      <c r="C748">
        <v>51</v>
      </c>
      <c r="D748" t="s">
        <v>19</v>
      </c>
      <c r="E748" t="s">
        <v>27</v>
      </c>
      <c r="F748">
        <v>5497</v>
      </c>
      <c r="G748" s="1">
        <v>44556</v>
      </c>
      <c r="H748">
        <v>5</v>
      </c>
      <c r="I748">
        <v>13</v>
      </c>
      <c r="J748" t="s">
        <v>21</v>
      </c>
      <c r="K748" t="s">
        <v>22</v>
      </c>
      <c r="L748" t="s">
        <v>25</v>
      </c>
    </row>
    <row r="749" spans="1:12" x14ac:dyDescent="0.35">
      <c r="A749">
        <v>748</v>
      </c>
      <c r="B749" t="s">
        <v>770</v>
      </c>
      <c r="C749">
        <v>58</v>
      </c>
      <c r="D749" t="s">
        <v>35</v>
      </c>
      <c r="E749" t="s">
        <v>20</v>
      </c>
      <c r="F749">
        <v>2451</v>
      </c>
      <c r="G749" s="1">
        <v>44157</v>
      </c>
      <c r="H749">
        <v>4</v>
      </c>
      <c r="I749">
        <v>2</v>
      </c>
      <c r="J749" t="s">
        <v>15</v>
      </c>
      <c r="K749" t="s">
        <v>16</v>
      </c>
      <c r="L749" t="s">
        <v>17</v>
      </c>
    </row>
    <row r="750" spans="1:12" x14ac:dyDescent="0.35">
      <c r="A750">
        <v>749</v>
      </c>
      <c r="B750" t="s">
        <v>771</v>
      </c>
      <c r="C750">
        <v>54</v>
      </c>
      <c r="D750" t="s">
        <v>19</v>
      </c>
      <c r="E750" t="s">
        <v>14</v>
      </c>
      <c r="F750">
        <v>9098</v>
      </c>
      <c r="G750" s="1">
        <v>44809</v>
      </c>
      <c r="I750">
        <v>4</v>
      </c>
      <c r="J750" t="s">
        <v>21</v>
      </c>
      <c r="K750" t="s">
        <v>30</v>
      </c>
      <c r="L750" t="s">
        <v>25</v>
      </c>
    </row>
    <row r="751" spans="1:12" x14ac:dyDescent="0.35">
      <c r="A751">
        <v>750</v>
      </c>
      <c r="B751" t="s">
        <v>772</v>
      </c>
      <c r="C751">
        <v>36</v>
      </c>
      <c r="D751" t="s">
        <v>35</v>
      </c>
      <c r="E751" t="s">
        <v>27</v>
      </c>
      <c r="F751">
        <v>2162</v>
      </c>
      <c r="G751" s="1">
        <v>43607</v>
      </c>
      <c r="H751">
        <v>0</v>
      </c>
      <c r="I751">
        <v>7</v>
      </c>
      <c r="J751" t="s">
        <v>15</v>
      </c>
      <c r="K751" t="s">
        <v>16</v>
      </c>
      <c r="L751" t="s">
        <v>25</v>
      </c>
    </row>
    <row r="752" spans="1:12" x14ac:dyDescent="0.35">
      <c r="A752">
        <v>751</v>
      </c>
      <c r="B752" t="s">
        <v>773</v>
      </c>
      <c r="C752">
        <v>45</v>
      </c>
      <c r="D752" t="s">
        <v>35</v>
      </c>
      <c r="E752" t="s">
        <v>27</v>
      </c>
      <c r="F752">
        <v>2532</v>
      </c>
      <c r="G752" s="1">
        <v>44341</v>
      </c>
      <c r="H752">
        <v>3</v>
      </c>
      <c r="I752">
        <v>7</v>
      </c>
      <c r="J752" t="s">
        <v>15</v>
      </c>
      <c r="K752" t="s">
        <v>16</v>
      </c>
      <c r="L752" t="s">
        <v>17</v>
      </c>
    </row>
    <row r="753" spans="1:12" x14ac:dyDescent="0.35">
      <c r="A753">
        <v>752</v>
      </c>
      <c r="B753" t="s">
        <v>774</v>
      </c>
      <c r="C753">
        <v>40</v>
      </c>
      <c r="D753" t="s">
        <v>19</v>
      </c>
      <c r="E753" t="s">
        <v>27</v>
      </c>
      <c r="F753">
        <v>8831</v>
      </c>
      <c r="G753" s="1">
        <v>44223</v>
      </c>
      <c r="H753">
        <v>5</v>
      </c>
      <c r="I753">
        <v>8</v>
      </c>
      <c r="J753" t="s">
        <v>15</v>
      </c>
      <c r="K753" t="s">
        <v>16</v>
      </c>
      <c r="L753" t="s">
        <v>25</v>
      </c>
    </row>
    <row r="754" spans="1:12" x14ac:dyDescent="0.35">
      <c r="A754">
        <v>753</v>
      </c>
      <c r="B754" t="s">
        <v>775</v>
      </c>
      <c r="C754">
        <v>53</v>
      </c>
      <c r="D754" t="s">
        <v>19</v>
      </c>
      <c r="E754" t="s">
        <v>27</v>
      </c>
      <c r="F754">
        <v>8632</v>
      </c>
      <c r="G754" s="1">
        <v>44192</v>
      </c>
      <c r="I754">
        <v>15</v>
      </c>
      <c r="J754" t="s">
        <v>21</v>
      </c>
      <c r="K754" t="s">
        <v>30</v>
      </c>
      <c r="L754" t="s">
        <v>25</v>
      </c>
    </row>
    <row r="755" spans="1:12" x14ac:dyDescent="0.35">
      <c r="A755">
        <v>754</v>
      </c>
      <c r="B755" t="s">
        <v>776</v>
      </c>
      <c r="C755">
        <v>28</v>
      </c>
      <c r="D755" t="s">
        <v>13</v>
      </c>
      <c r="E755" t="s">
        <v>27</v>
      </c>
      <c r="F755">
        <v>9146</v>
      </c>
      <c r="G755" s="1">
        <v>44850</v>
      </c>
      <c r="H755">
        <v>5</v>
      </c>
      <c r="I755">
        <v>13</v>
      </c>
      <c r="J755" t="s">
        <v>15</v>
      </c>
      <c r="K755" t="s">
        <v>30</v>
      </c>
      <c r="L755" t="s">
        <v>23</v>
      </c>
    </row>
    <row r="756" spans="1:12" x14ac:dyDescent="0.35">
      <c r="A756">
        <v>755</v>
      </c>
      <c r="B756" t="s">
        <v>777</v>
      </c>
      <c r="C756">
        <v>39</v>
      </c>
      <c r="D756" t="s">
        <v>35</v>
      </c>
      <c r="E756" t="s">
        <v>14</v>
      </c>
      <c r="F756">
        <v>8348</v>
      </c>
      <c r="G756" s="1">
        <v>45088</v>
      </c>
      <c r="H756">
        <v>0</v>
      </c>
      <c r="I756">
        <v>19</v>
      </c>
      <c r="J756" t="s">
        <v>15</v>
      </c>
      <c r="K756" t="s">
        <v>30</v>
      </c>
      <c r="L756" t="s">
        <v>25</v>
      </c>
    </row>
    <row r="757" spans="1:12" x14ac:dyDescent="0.35">
      <c r="A757">
        <v>756</v>
      </c>
      <c r="B757" t="s">
        <v>778</v>
      </c>
      <c r="C757">
        <v>28</v>
      </c>
      <c r="D757" t="s">
        <v>19</v>
      </c>
      <c r="E757" t="s">
        <v>20</v>
      </c>
      <c r="F757">
        <v>5009</v>
      </c>
      <c r="G757" s="1">
        <v>42961</v>
      </c>
      <c r="H757">
        <v>2</v>
      </c>
      <c r="I757">
        <v>1</v>
      </c>
      <c r="J757" t="s">
        <v>15</v>
      </c>
      <c r="K757" t="s">
        <v>30</v>
      </c>
      <c r="L757" t="s">
        <v>23</v>
      </c>
    </row>
    <row r="758" spans="1:12" x14ac:dyDescent="0.35">
      <c r="A758">
        <v>757</v>
      </c>
      <c r="B758" t="s">
        <v>779</v>
      </c>
      <c r="C758">
        <v>38</v>
      </c>
      <c r="D758" t="s">
        <v>35</v>
      </c>
      <c r="E758" t="s">
        <v>20</v>
      </c>
      <c r="F758">
        <v>9666</v>
      </c>
      <c r="G758" s="1">
        <v>42474</v>
      </c>
      <c r="H758">
        <v>0</v>
      </c>
      <c r="I758">
        <v>15</v>
      </c>
      <c r="J758" t="s">
        <v>15</v>
      </c>
      <c r="K758" t="s">
        <v>22</v>
      </c>
      <c r="L758" t="s">
        <v>25</v>
      </c>
    </row>
    <row r="759" spans="1:12" x14ac:dyDescent="0.35">
      <c r="A759">
        <v>758</v>
      </c>
      <c r="B759" t="s">
        <v>780</v>
      </c>
      <c r="C759">
        <v>34</v>
      </c>
      <c r="D759" t="s">
        <v>19</v>
      </c>
      <c r="E759" t="s">
        <v>20</v>
      </c>
      <c r="F759">
        <v>3395</v>
      </c>
      <c r="G759" s="1">
        <v>42155</v>
      </c>
      <c r="H759">
        <v>3</v>
      </c>
      <c r="I759">
        <v>4</v>
      </c>
      <c r="J759" t="s">
        <v>15</v>
      </c>
      <c r="K759" t="s">
        <v>22</v>
      </c>
      <c r="L759" t="s">
        <v>25</v>
      </c>
    </row>
    <row r="760" spans="1:12" x14ac:dyDescent="0.35">
      <c r="A760">
        <v>759</v>
      </c>
      <c r="B760" t="s">
        <v>781</v>
      </c>
      <c r="C760">
        <v>53</v>
      </c>
      <c r="D760" t="s">
        <v>35</v>
      </c>
      <c r="E760" t="s">
        <v>20</v>
      </c>
      <c r="F760">
        <v>9917</v>
      </c>
      <c r="G760" s="1">
        <v>42923</v>
      </c>
      <c r="H760">
        <v>1</v>
      </c>
      <c r="I760">
        <v>16</v>
      </c>
      <c r="J760" t="s">
        <v>15</v>
      </c>
      <c r="K760" t="s">
        <v>22</v>
      </c>
      <c r="L760" t="s">
        <v>23</v>
      </c>
    </row>
    <row r="761" spans="1:12" x14ac:dyDescent="0.35">
      <c r="A761">
        <v>760</v>
      </c>
      <c r="B761" t="s">
        <v>782</v>
      </c>
      <c r="C761">
        <v>32</v>
      </c>
      <c r="D761" t="s">
        <v>19</v>
      </c>
      <c r="E761" t="s">
        <v>27</v>
      </c>
      <c r="F761">
        <v>9626</v>
      </c>
      <c r="G761" s="1">
        <v>43946</v>
      </c>
      <c r="I761">
        <v>16</v>
      </c>
      <c r="J761" t="s">
        <v>15</v>
      </c>
      <c r="K761" t="s">
        <v>22</v>
      </c>
      <c r="L761" t="s">
        <v>17</v>
      </c>
    </row>
    <row r="762" spans="1:12" x14ac:dyDescent="0.35">
      <c r="A762">
        <v>761</v>
      </c>
      <c r="B762" t="s">
        <v>783</v>
      </c>
      <c r="C762">
        <v>34</v>
      </c>
      <c r="D762" t="s">
        <v>13</v>
      </c>
      <c r="E762" t="s">
        <v>20</v>
      </c>
      <c r="F762">
        <v>4424</v>
      </c>
      <c r="G762" s="1">
        <v>44430</v>
      </c>
      <c r="H762">
        <v>5</v>
      </c>
      <c r="I762">
        <v>19</v>
      </c>
      <c r="J762" t="s">
        <v>21</v>
      </c>
      <c r="K762" t="s">
        <v>16</v>
      </c>
      <c r="L762" t="s">
        <v>17</v>
      </c>
    </row>
    <row r="763" spans="1:12" x14ac:dyDescent="0.35">
      <c r="A763">
        <v>762</v>
      </c>
      <c r="B763" t="s">
        <v>784</v>
      </c>
      <c r="C763">
        <v>19</v>
      </c>
      <c r="D763" t="s">
        <v>19</v>
      </c>
      <c r="E763" t="s">
        <v>14</v>
      </c>
      <c r="F763">
        <v>9825</v>
      </c>
      <c r="G763" s="1">
        <v>43420</v>
      </c>
      <c r="H763">
        <v>4</v>
      </c>
      <c r="I763">
        <v>5</v>
      </c>
      <c r="J763" t="s">
        <v>21</v>
      </c>
      <c r="K763" t="s">
        <v>22</v>
      </c>
      <c r="L763" t="s">
        <v>25</v>
      </c>
    </row>
    <row r="764" spans="1:12" x14ac:dyDescent="0.35">
      <c r="A764">
        <v>763</v>
      </c>
      <c r="B764" t="s">
        <v>785</v>
      </c>
      <c r="C764">
        <v>51</v>
      </c>
      <c r="D764" t="s">
        <v>13</v>
      </c>
      <c r="E764" t="s">
        <v>27</v>
      </c>
      <c r="F764">
        <v>9654</v>
      </c>
      <c r="G764" s="1">
        <v>44666</v>
      </c>
      <c r="H764">
        <v>1</v>
      </c>
      <c r="I764">
        <v>11</v>
      </c>
      <c r="J764" t="s">
        <v>15</v>
      </c>
      <c r="K764" t="s">
        <v>22</v>
      </c>
      <c r="L764" t="s">
        <v>17</v>
      </c>
    </row>
    <row r="765" spans="1:12" x14ac:dyDescent="0.35">
      <c r="A765">
        <v>764</v>
      </c>
      <c r="B765" t="s">
        <v>786</v>
      </c>
      <c r="C765">
        <v>30</v>
      </c>
      <c r="D765" t="s">
        <v>35</v>
      </c>
      <c r="E765" t="s">
        <v>27</v>
      </c>
      <c r="F765">
        <v>6212</v>
      </c>
      <c r="G765" s="1">
        <v>44321</v>
      </c>
      <c r="H765">
        <v>4</v>
      </c>
      <c r="I765">
        <v>15</v>
      </c>
      <c r="J765" t="s">
        <v>21</v>
      </c>
      <c r="K765" t="s">
        <v>30</v>
      </c>
      <c r="L765" t="s">
        <v>17</v>
      </c>
    </row>
    <row r="766" spans="1:12" x14ac:dyDescent="0.35">
      <c r="A766">
        <v>765</v>
      </c>
      <c r="B766" t="s">
        <v>787</v>
      </c>
      <c r="C766">
        <v>48</v>
      </c>
      <c r="D766" t="s">
        <v>35</v>
      </c>
      <c r="E766" t="s">
        <v>14</v>
      </c>
      <c r="F766">
        <v>3927</v>
      </c>
      <c r="G766" s="1">
        <v>43659</v>
      </c>
      <c r="H766">
        <v>5</v>
      </c>
      <c r="I766">
        <v>20</v>
      </c>
      <c r="J766" t="s">
        <v>21</v>
      </c>
      <c r="K766" t="s">
        <v>30</v>
      </c>
      <c r="L766" t="s">
        <v>23</v>
      </c>
    </row>
    <row r="767" spans="1:12" x14ac:dyDescent="0.35">
      <c r="A767">
        <v>766</v>
      </c>
      <c r="B767" t="s">
        <v>788</v>
      </c>
      <c r="C767">
        <v>42</v>
      </c>
      <c r="D767" t="s">
        <v>13</v>
      </c>
      <c r="E767" t="s">
        <v>20</v>
      </c>
      <c r="F767">
        <v>3414</v>
      </c>
      <c r="G767" s="1">
        <v>44970</v>
      </c>
      <c r="H767">
        <v>2</v>
      </c>
      <c r="I767">
        <v>20</v>
      </c>
      <c r="J767" t="s">
        <v>21</v>
      </c>
      <c r="K767" t="s">
        <v>30</v>
      </c>
      <c r="L767" t="s">
        <v>23</v>
      </c>
    </row>
    <row r="768" spans="1:12" x14ac:dyDescent="0.35">
      <c r="A768">
        <v>767</v>
      </c>
      <c r="B768" t="s">
        <v>789</v>
      </c>
      <c r="C768">
        <v>62</v>
      </c>
      <c r="D768" t="s">
        <v>19</v>
      </c>
      <c r="E768" t="s">
        <v>27</v>
      </c>
      <c r="F768">
        <v>4483</v>
      </c>
      <c r="G768" s="1">
        <v>44348</v>
      </c>
      <c r="I768">
        <v>8</v>
      </c>
      <c r="J768" t="s">
        <v>15</v>
      </c>
      <c r="K768" t="s">
        <v>22</v>
      </c>
      <c r="L768" t="s">
        <v>25</v>
      </c>
    </row>
    <row r="769" spans="1:12" x14ac:dyDescent="0.35">
      <c r="A769">
        <v>768</v>
      </c>
      <c r="B769" t="s">
        <v>790</v>
      </c>
      <c r="C769">
        <v>27</v>
      </c>
      <c r="D769" t="s">
        <v>13</v>
      </c>
      <c r="E769" t="s">
        <v>20</v>
      </c>
      <c r="F769">
        <v>6086</v>
      </c>
      <c r="G769" s="1">
        <v>42526</v>
      </c>
      <c r="H769">
        <v>2</v>
      </c>
      <c r="I769">
        <v>1</v>
      </c>
      <c r="J769" t="s">
        <v>15</v>
      </c>
      <c r="K769" t="s">
        <v>30</v>
      </c>
      <c r="L769" t="s">
        <v>17</v>
      </c>
    </row>
    <row r="770" spans="1:12" x14ac:dyDescent="0.35">
      <c r="A770">
        <v>769</v>
      </c>
      <c r="B770" t="s">
        <v>791</v>
      </c>
      <c r="C770">
        <v>26</v>
      </c>
      <c r="D770" t="s">
        <v>19</v>
      </c>
      <c r="E770" t="s">
        <v>14</v>
      </c>
      <c r="F770">
        <v>6745</v>
      </c>
      <c r="G770" s="1">
        <v>45575</v>
      </c>
      <c r="I770">
        <v>16</v>
      </c>
      <c r="J770" t="s">
        <v>15</v>
      </c>
      <c r="K770" t="s">
        <v>22</v>
      </c>
      <c r="L770" t="s">
        <v>23</v>
      </c>
    </row>
    <row r="771" spans="1:12" x14ac:dyDescent="0.35">
      <c r="A771">
        <v>770</v>
      </c>
      <c r="B771" t="s">
        <v>792</v>
      </c>
      <c r="C771">
        <v>19</v>
      </c>
      <c r="D771" t="s">
        <v>19</v>
      </c>
      <c r="E771" t="s">
        <v>14</v>
      </c>
      <c r="F771">
        <v>6166</v>
      </c>
      <c r="G771" s="1">
        <v>44116</v>
      </c>
      <c r="I771">
        <v>10</v>
      </c>
      <c r="J771" t="s">
        <v>15</v>
      </c>
      <c r="K771" t="s">
        <v>16</v>
      </c>
      <c r="L771" t="s">
        <v>17</v>
      </c>
    </row>
    <row r="772" spans="1:12" x14ac:dyDescent="0.35">
      <c r="A772">
        <v>771</v>
      </c>
      <c r="B772" t="s">
        <v>793</v>
      </c>
      <c r="C772">
        <v>64</v>
      </c>
      <c r="D772" t="s">
        <v>13</v>
      </c>
      <c r="E772" t="s">
        <v>20</v>
      </c>
      <c r="F772">
        <v>7841</v>
      </c>
      <c r="G772" s="1">
        <v>42976</v>
      </c>
      <c r="H772">
        <v>3</v>
      </c>
      <c r="I772">
        <v>14</v>
      </c>
      <c r="J772" t="s">
        <v>15</v>
      </c>
      <c r="K772" t="s">
        <v>30</v>
      </c>
      <c r="L772" t="s">
        <v>17</v>
      </c>
    </row>
    <row r="773" spans="1:12" x14ac:dyDescent="0.35">
      <c r="A773">
        <v>772</v>
      </c>
      <c r="B773" t="s">
        <v>794</v>
      </c>
      <c r="C773">
        <v>39</v>
      </c>
      <c r="D773" t="s">
        <v>13</v>
      </c>
      <c r="E773" t="s">
        <v>20</v>
      </c>
      <c r="F773">
        <v>4949</v>
      </c>
      <c r="G773" s="1">
        <v>44800</v>
      </c>
      <c r="H773">
        <v>5</v>
      </c>
      <c r="I773">
        <v>7</v>
      </c>
      <c r="J773" t="s">
        <v>21</v>
      </c>
      <c r="K773" t="s">
        <v>16</v>
      </c>
      <c r="L773" t="s">
        <v>23</v>
      </c>
    </row>
    <row r="774" spans="1:12" x14ac:dyDescent="0.35">
      <c r="A774">
        <v>773</v>
      </c>
      <c r="B774" t="s">
        <v>795</v>
      </c>
      <c r="C774">
        <v>45</v>
      </c>
      <c r="D774" t="s">
        <v>19</v>
      </c>
      <c r="E774" t="s">
        <v>27</v>
      </c>
      <c r="F774">
        <v>8462</v>
      </c>
      <c r="G774" s="1">
        <v>43536</v>
      </c>
      <c r="H774">
        <v>3</v>
      </c>
      <c r="I774">
        <v>2</v>
      </c>
      <c r="J774" t="s">
        <v>15</v>
      </c>
      <c r="K774" t="s">
        <v>22</v>
      </c>
      <c r="L774" t="s">
        <v>23</v>
      </c>
    </row>
    <row r="775" spans="1:12" x14ac:dyDescent="0.35">
      <c r="A775">
        <v>774</v>
      </c>
      <c r="B775" t="s">
        <v>796</v>
      </c>
      <c r="C775">
        <v>30</v>
      </c>
      <c r="D775" t="s">
        <v>19</v>
      </c>
      <c r="E775" t="s">
        <v>27</v>
      </c>
      <c r="F775">
        <v>9314</v>
      </c>
      <c r="G775" s="1">
        <v>42682</v>
      </c>
      <c r="I775">
        <v>4</v>
      </c>
      <c r="J775" t="s">
        <v>15</v>
      </c>
      <c r="K775" t="s">
        <v>22</v>
      </c>
      <c r="L775" t="s">
        <v>25</v>
      </c>
    </row>
    <row r="776" spans="1:12" x14ac:dyDescent="0.35">
      <c r="A776">
        <v>775</v>
      </c>
      <c r="B776" t="s">
        <v>797</v>
      </c>
      <c r="C776">
        <v>62</v>
      </c>
      <c r="D776" t="s">
        <v>13</v>
      </c>
      <c r="E776" t="s">
        <v>20</v>
      </c>
      <c r="F776">
        <v>5349</v>
      </c>
      <c r="G776" s="1">
        <v>44177</v>
      </c>
      <c r="H776">
        <v>2</v>
      </c>
      <c r="I776">
        <v>8</v>
      </c>
      <c r="J776" t="s">
        <v>21</v>
      </c>
      <c r="K776" t="s">
        <v>22</v>
      </c>
      <c r="L776" t="s">
        <v>23</v>
      </c>
    </row>
    <row r="777" spans="1:12" x14ac:dyDescent="0.35">
      <c r="A777">
        <v>776</v>
      </c>
      <c r="B777" t="s">
        <v>798</v>
      </c>
      <c r="C777">
        <v>53</v>
      </c>
      <c r="D777" t="s">
        <v>35</v>
      </c>
      <c r="E777" t="s">
        <v>14</v>
      </c>
      <c r="F777">
        <v>7659</v>
      </c>
      <c r="G777" s="1">
        <v>44076</v>
      </c>
      <c r="H777">
        <v>3</v>
      </c>
      <c r="I777">
        <v>16</v>
      </c>
      <c r="J777" t="s">
        <v>15</v>
      </c>
      <c r="K777" t="s">
        <v>22</v>
      </c>
      <c r="L777" t="s">
        <v>23</v>
      </c>
    </row>
    <row r="778" spans="1:12" x14ac:dyDescent="0.35">
      <c r="A778">
        <v>777</v>
      </c>
      <c r="B778" t="s">
        <v>799</v>
      </c>
      <c r="C778">
        <v>61</v>
      </c>
      <c r="D778" t="s">
        <v>35</v>
      </c>
      <c r="E778" t="s">
        <v>20</v>
      </c>
      <c r="F778">
        <v>7765</v>
      </c>
      <c r="G778" s="1">
        <v>43181</v>
      </c>
      <c r="H778">
        <v>2</v>
      </c>
      <c r="I778">
        <v>16</v>
      </c>
      <c r="J778" t="s">
        <v>21</v>
      </c>
      <c r="K778" t="s">
        <v>22</v>
      </c>
      <c r="L778" t="s">
        <v>17</v>
      </c>
    </row>
    <row r="779" spans="1:12" x14ac:dyDescent="0.35">
      <c r="A779">
        <v>778</v>
      </c>
      <c r="B779" t="s">
        <v>800</v>
      </c>
      <c r="C779">
        <v>58</v>
      </c>
      <c r="D779" t="s">
        <v>19</v>
      </c>
      <c r="E779" t="s">
        <v>27</v>
      </c>
      <c r="F779">
        <v>3703</v>
      </c>
      <c r="G779" s="1">
        <v>42471</v>
      </c>
      <c r="H779">
        <v>2</v>
      </c>
      <c r="I779">
        <v>6</v>
      </c>
      <c r="J779" t="s">
        <v>21</v>
      </c>
      <c r="K779" t="s">
        <v>30</v>
      </c>
      <c r="L779" t="s">
        <v>17</v>
      </c>
    </row>
    <row r="780" spans="1:12" x14ac:dyDescent="0.35">
      <c r="A780">
        <v>779</v>
      </c>
      <c r="B780" t="s">
        <v>801</v>
      </c>
      <c r="C780">
        <v>39</v>
      </c>
      <c r="D780" t="s">
        <v>19</v>
      </c>
      <c r="E780" t="s">
        <v>20</v>
      </c>
      <c r="F780">
        <v>9653</v>
      </c>
      <c r="G780" s="1">
        <v>44416</v>
      </c>
      <c r="I780">
        <v>19</v>
      </c>
      <c r="J780" t="s">
        <v>21</v>
      </c>
      <c r="K780" t="s">
        <v>16</v>
      </c>
      <c r="L780" t="s">
        <v>25</v>
      </c>
    </row>
    <row r="781" spans="1:12" x14ac:dyDescent="0.35">
      <c r="A781">
        <v>780</v>
      </c>
      <c r="B781" t="s">
        <v>802</v>
      </c>
      <c r="C781">
        <v>37</v>
      </c>
      <c r="D781" t="s">
        <v>19</v>
      </c>
      <c r="E781" t="s">
        <v>14</v>
      </c>
      <c r="F781">
        <v>2511</v>
      </c>
      <c r="G781" s="1">
        <v>44744</v>
      </c>
      <c r="I781">
        <v>5</v>
      </c>
      <c r="J781" t="s">
        <v>21</v>
      </c>
      <c r="K781" t="s">
        <v>30</v>
      </c>
      <c r="L781" t="s">
        <v>25</v>
      </c>
    </row>
    <row r="782" spans="1:12" x14ac:dyDescent="0.35">
      <c r="A782">
        <v>781</v>
      </c>
      <c r="B782" t="s">
        <v>803</v>
      </c>
      <c r="C782">
        <v>44</v>
      </c>
      <c r="D782" t="s">
        <v>35</v>
      </c>
      <c r="E782" t="s">
        <v>27</v>
      </c>
      <c r="F782">
        <v>6141</v>
      </c>
      <c r="G782" s="1">
        <v>42870</v>
      </c>
      <c r="H782">
        <v>3</v>
      </c>
      <c r="I782">
        <v>1</v>
      </c>
      <c r="J782" t="s">
        <v>15</v>
      </c>
      <c r="K782" t="s">
        <v>22</v>
      </c>
      <c r="L782" t="s">
        <v>23</v>
      </c>
    </row>
    <row r="783" spans="1:12" x14ac:dyDescent="0.35">
      <c r="A783">
        <v>782</v>
      </c>
      <c r="B783" t="s">
        <v>804</v>
      </c>
      <c r="C783">
        <v>18</v>
      </c>
      <c r="D783" t="s">
        <v>35</v>
      </c>
      <c r="E783" t="s">
        <v>14</v>
      </c>
      <c r="F783">
        <v>2973</v>
      </c>
      <c r="G783" s="1">
        <v>43614</v>
      </c>
      <c r="H783">
        <v>0</v>
      </c>
      <c r="I783">
        <v>4</v>
      </c>
      <c r="J783" t="s">
        <v>15</v>
      </c>
      <c r="K783" t="s">
        <v>30</v>
      </c>
      <c r="L783" t="s">
        <v>25</v>
      </c>
    </row>
    <row r="784" spans="1:12" x14ac:dyDescent="0.35">
      <c r="A784">
        <v>783</v>
      </c>
      <c r="B784" t="s">
        <v>805</v>
      </c>
      <c r="C784">
        <v>54</v>
      </c>
      <c r="D784" t="s">
        <v>13</v>
      </c>
      <c r="E784" t="s">
        <v>14</v>
      </c>
      <c r="F784">
        <v>6145</v>
      </c>
      <c r="G784" s="1">
        <v>43499</v>
      </c>
      <c r="H784">
        <v>3</v>
      </c>
      <c r="I784">
        <v>7</v>
      </c>
      <c r="J784" t="s">
        <v>21</v>
      </c>
      <c r="K784" t="s">
        <v>16</v>
      </c>
      <c r="L784" t="s">
        <v>23</v>
      </c>
    </row>
    <row r="785" spans="1:12" x14ac:dyDescent="0.35">
      <c r="A785">
        <v>784</v>
      </c>
      <c r="B785" t="s">
        <v>806</v>
      </c>
      <c r="C785">
        <v>46</v>
      </c>
      <c r="D785" t="s">
        <v>35</v>
      </c>
      <c r="E785" t="s">
        <v>27</v>
      </c>
      <c r="F785">
        <v>5031</v>
      </c>
      <c r="G785" s="1">
        <v>43267</v>
      </c>
      <c r="H785">
        <v>0</v>
      </c>
      <c r="I785">
        <v>7</v>
      </c>
      <c r="J785" t="s">
        <v>15</v>
      </c>
      <c r="K785" t="s">
        <v>16</v>
      </c>
      <c r="L785" t="s">
        <v>25</v>
      </c>
    </row>
    <row r="786" spans="1:12" x14ac:dyDescent="0.35">
      <c r="A786">
        <v>785</v>
      </c>
      <c r="B786" t="s">
        <v>807</v>
      </c>
      <c r="C786">
        <v>49</v>
      </c>
      <c r="D786" t="s">
        <v>35</v>
      </c>
      <c r="E786" t="s">
        <v>14</v>
      </c>
      <c r="F786">
        <v>4679</v>
      </c>
      <c r="G786" s="1">
        <v>44892</v>
      </c>
      <c r="H786">
        <v>0</v>
      </c>
      <c r="I786">
        <v>15</v>
      </c>
      <c r="J786" t="s">
        <v>15</v>
      </c>
      <c r="K786" t="s">
        <v>30</v>
      </c>
      <c r="L786" t="s">
        <v>25</v>
      </c>
    </row>
    <row r="787" spans="1:12" x14ac:dyDescent="0.35">
      <c r="A787">
        <v>786</v>
      </c>
      <c r="B787" t="s">
        <v>808</v>
      </c>
      <c r="C787">
        <v>20</v>
      </c>
      <c r="D787" t="s">
        <v>19</v>
      </c>
      <c r="E787" t="s">
        <v>20</v>
      </c>
      <c r="F787">
        <v>3265</v>
      </c>
      <c r="G787" s="1">
        <v>44911</v>
      </c>
      <c r="H787">
        <v>5</v>
      </c>
      <c r="I787">
        <v>7</v>
      </c>
      <c r="J787" t="s">
        <v>15</v>
      </c>
      <c r="K787" t="s">
        <v>22</v>
      </c>
      <c r="L787" t="s">
        <v>23</v>
      </c>
    </row>
    <row r="788" spans="1:12" x14ac:dyDescent="0.35">
      <c r="A788">
        <v>787</v>
      </c>
      <c r="B788" t="s">
        <v>719</v>
      </c>
      <c r="C788">
        <v>19</v>
      </c>
      <c r="D788" t="s">
        <v>13</v>
      </c>
      <c r="E788" t="s">
        <v>14</v>
      </c>
      <c r="F788">
        <v>4666</v>
      </c>
      <c r="G788" s="1">
        <v>42522</v>
      </c>
      <c r="I788">
        <v>16</v>
      </c>
      <c r="J788" t="s">
        <v>21</v>
      </c>
      <c r="K788" t="s">
        <v>30</v>
      </c>
      <c r="L788" t="s">
        <v>23</v>
      </c>
    </row>
    <row r="789" spans="1:12" x14ac:dyDescent="0.35">
      <c r="A789">
        <v>788</v>
      </c>
      <c r="B789" t="s">
        <v>809</v>
      </c>
      <c r="C789">
        <v>33</v>
      </c>
      <c r="D789" t="s">
        <v>13</v>
      </c>
      <c r="E789" t="s">
        <v>20</v>
      </c>
      <c r="F789">
        <v>2078</v>
      </c>
      <c r="G789" s="1">
        <v>44461</v>
      </c>
      <c r="H789">
        <v>3</v>
      </c>
      <c r="I789">
        <v>15</v>
      </c>
      <c r="J789" t="s">
        <v>21</v>
      </c>
      <c r="K789" t="s">
        <v>16</v>
      </c>
      <c r="L789" t="s">
        <v>17</v>
      </c>
    </row>
    <row r="790" spans="1:12" x14ac:dyDescent="0.35">
      <c r="A790">
        <v>789</v>
      </c>
      <c r="B790" t="s">
        <v>810</v>
      </c>
      <c r="C790">
        <v>27</v>
      </c>
      <c r="D790" t="s">
        <v>19</v>
      </c>
      <c r="E790" t="s">
        <v>20</v>
      </c>
      <c r="F790">
        <v>3153</v>
      </c>
      <c r="G790" s="1">
        <v>44169</v>
      </c>
      <c r="H790">
        <v>2</v>
      </c>
      <c r="I790">
        <v>5</v>
      </c>
      <c r="J790" t="s">
        <v>15</v>
      </c>
      <c r="K790" t="s">
        <v>16</v>
      </c>
      <c r="L790" t="s">
        <v>25</v>
      </c>
    </row>
    <row r="791" spans="1:12" x14ac:dyDescent="0.35">
      <c r="A791">
        <v>790</v>
      </c>
      <c r="B791" t="s">
        <v>811</v>
      </c>
      <c r="C791">
        <v>65</v>
      </c>
      <c r="D791" t="s">
        <v>35</v>
      </c>
      <c r="E791" t="s">
        <v>20</v>
      </c>
      <c r="F791">
        <v>3369</v>
      </c>
      <c r="G791" s="1">
        <v>42438</v>
      </c>
      <c r="I791">
        <v>12</v>
      </c>
      <c r="J791" t="s">
        <v>21</v>
      </c>
      <c r="K791" t="s">
        <v>30</v>
      </c>
      <c r="L791" t="s">
        <v>23</v>
      </c>
    </row>
    <row r="792" spans="1:12" x14ac:dyDescent="0.35">
      <c r="A792">
        <v>791</v>
      </c>
      <c r="B792" t="s">
        <v>812</v>
      </c>
      <c r="C792">
        <v>59</v>
      </c>
      <c r="D792" t="s">
        <v>19</v>
      </c>
      <c r="E792" t="s">
        <v>27</v>
      </c>
      <c r="F792">
        <v>9265</v>
      </c>
      <c r="G792" s="1">
        <v>44303</v>
      </c>
      <c r="H792">
        <v>1</v>
      </c>
      <c r="I792">
        <v>3</v>
      </c>
      <c r="J792" t="s">
        <v>15</v>
      </c>
      <c r="K792" t="s">
        <v>22</v>
      </c>
      <c r="L792" t="s">
        <v>23</v>
      </c>
    </row>
    <row r="793" spans="1:12" x14ac:dyDescent="0.35">
      <c r="A793">
        <v>792</v>
      </c>
      <c r="B793" t="s">
        <v>813</v>
      </c>
      <c r="C793">
        <v>35</v>
      </c>
      <c r="D793" t="s">
        <v>19</v>
      </c>
      <c r="E793" t="s">
        <v>20</v>
      </c>
      <c r="F793">
        <v>3717</v>
      </c>
      <c r="G793" s="1">
        <v>42567</v>
      </c>
      <c r="H793">
        <v>4</v>
      </c>
      <c r="I793">
        <v>4</v>
      </c>
      <c r="J793" t="s">
        <v>21</v>
      </c>
      <c r="K793" t="s">
        <v>30</v>
      </c>
      <c r="L793" t="s">
        <v>23</v>
      </c>
    </row>
    <row r="794" spans="1:12" x14ac:dyDescent="0.35">
      <c r="A794">
        <v>793</v>
      </c>
      <c r="B794" t="s">
        <v>814</v>
      </c>
      <c r="C794">
        <v>28</v>
      </c>
      <c r="D794" t="s">
        <v>13</v>
      </c>
      <c r="E794" t="s">
        <v>27</v>
      </c>
      <c r="F794">
        <v>9518</v>
      </c>
      <c r="G794" s="1">
        <v>45570</v>
      </c>
      <c r="H794">
        <v>0</v>
      </c>
      <c r="I794">
        <v>9</v>
      </c>
      <c r="J794" t="s">
        <v>15</v>
      </c>
      <c r="K794" t="s">
        <v>22</v>
      </c>
      <c r="L794" t="s">
        <v>17</v>
      </c>
    </row>
    <row r="795" spans="1:12" x14ac:dyDescent="0.35">
      <c r="A795">
        <v>794</v>
      </c>
      <c r="B795" t="s">
        <v>815</v>
      </c>
      <c r="C795">
        <v>30</v>
      </c>
      <c r="D795" t="s">
        <v>13</v>
      </c>
      <c r="E795" t="s">
        <v>14</v>
      </c>
      <c r="F795">
        <v>2912</v>
      </c>
      <c r="G795" s="1">
        <v>43455</v>
      </c>
      <c r="H795">
        <v>0</v>
      </c>
      <c r="I795">
        <v>11</v>
      </c>
      <c r="J795" t="s">
        <v>15</v>
      </c>
      <c r="K795" t="s">
        <v>16</v>
      </c>
      <c r="L795" t="s">
        <v>25</v>
      </c>
    </row>
    <row r="796" spans="1:12" x14ac:dyDescent="0.35">
      <c r="A796">
        <v>795</v>
      </c>
      <c r="B796" t="s">
        <v>816</v>
      </c>
      <c r="C796">
        <v>63</v>
      </c>
      <c r="D796" t="s">
        <v>13</v>
      </c>
      <c r="E796" t="s">
        <v>20</v>
      </c>
      <c r="F796">
        <v>5419</v>
      </c>
      <c r="G796" s="1">
        <v>42599</v>
      </c>
      <c r="I796">
        <v>7</v>
      </c>
      <c r="J796" t="s">
        <v>21</v>
      </c>
      <c r="K796" t="s">
        <v>16</v>
      </c>
      <c r="L796" t="s">
        <v>17</v>
      </c>
    </row>
    <row r="797" spans="1:12" x14ac:dyDescent="0.35">
      <c r="A797">
        <v>796</v>
      </c>
      <c r="B797" t="s">
        <v>817</v>
      </c>
      <c r="C797">
        <v>37</v>
      </c>
      <c r="D797" t="s">
        <v>35</v>
      </c>
      <c r="E797" t="s">
        <v>27</v>
      </c>
      <c r="F797">
        <v>5423</v>
      </c>
      <c r="G797" s="1">
        <v>42274</v>
      </c>
      <c r="I797">
        <v>18</v>
      </c>
      <c r="J797" t="s">
        <v>21</v>
      </c>
      <c r="K797" t="s">
        <v>30</v>
      </c>
      <c r="L797" t="s">
        <v>25</v>
      </c>
    </row>
    <row r="798" spans="1:12" x14ac:dyDescent="0.35">
      <c r="A798">
        <v>797</v>
      </c>
      <c r="B798" t="s">
        <v>818</v>
      </c>
      <c r="C798">
        <v>35</v>
      </c>
      <c r="D798" t="s">
        <v>19</v>
      </c>
      <c r="E798" t="s">
        <v>20</v>
      </c>
      <c r="F798">
        <v>9926</v>
      </c>
      <c r="G798" s="1">
        <v>42617</v>
      </c>
      <c r="I798">
        <v>7</v>
      </c>
      <c r="J798" t="s">
        <v>15</v>
      </c>
      <c r="K798" t="s">
        <v>30</v>
      </c>
      <c r="L798" t="s">
        <v>17</v>
      </c>
    </row>
    <row r="799" spans="1:12" x14ac:dyDescent="0.35">
      <c r="A799">
        <v>798</v>
      </c>
      <c r="B799" t="s">
        <v>819</v>
      </c>
      <c r="C799">
        <v>44</v>
      </c>
      <c r="D799" t="s">
        <v>19</v>
      </c>
      <c r="E799" t="s">
        <v>14</v>
      </c>
      <c r="F799">
        <v>4713</v>
      </c>
      <c r="G799" s="1">
        <v>43017</v>
      </c>
      <c r="H799">
        <v>5</v>
      </c>
      <c r="I799">
        <v>2</v>
      </c>
      <c r="J799" t="s">
        <v>15</v>
      </c>
      <c r="K799" t="s">
        <v>16</v>
      </c>
      <c r="L799" t="s">
        <v>25</v>
      </c>
    </row>
    <row r="800" spans="1:12" x14ac:dyDescent="0.35">
      <c r="A800">
        <v>799</v>
      </c>
      <c r="B800" t="s">
        <v>820</v>
      </c>
      <c r="C800">
        <v>49</v>
      </c>
      <c r="D800" t="s">
        <v>13</v>
      </c>
      <c r="E800" t="s">
        <v>27</v>
      </c>
      <c r="F800">
        <v>5690</v>
      </c>
      <c r="G800" s="1">
        <v>42409</v>
      </c>
      <c r="H800">
        <v>0</v>
      </c>
      <c r="I800">
        <v>20</v>
      </c>
      <c r="J800" t="s">
        <v>15</v>
      </c>
      <c r="K800" t="s">
        <v>16</v>
      </c>
      <c r="L800" t="s">
        <v>25</v>
      </c>
    </row>
    <row r="801" spans="1:12" x14ac:dyDescent="0.35">
      <c r="A801">
        <v>800</v>
      </c>
      <c r="B801" t="s">
        <v>821</v>
      </c>
      <c r="C801">
        <v>52</v>
      </c>
      <c r="D801" t="s">
        <v>13</v>
      </c>
      <c r="E801" t="s">
        <v>14</v>
      </c>
      <c r="F801">
        <v>7496</v>
      </c>
      <c r="G801" s="1">
        <v>43612</v>
      </c>
      <c r="H801">
        <v>3</v>
      </c>
      <c r="I801">
        <v>6</v>
      </c>
      <c r="J801" t="s">
        <v>15</v>
      </c>
      <c r="K801" t="s">
        <v>22</v>
      </c>
      <c r="L801" t="s">
        <v>17</v>
      </c>
    </row>
    <row r="802" spans="1:12" x14ac:dyDescent="0.35">
      <c r="A802">
        <v>801</v>
      </c>
      <c r="B802" t="s">
        <v>822</v>
      </c>
      <c r="C802">
        <v>22</v>
      </c>
      <c r="D802" t="s">
        <v>13</v>
      </c>
      <c r="E802" t="s">
        <v>14</v>
      </c>
      <c r="F802">
        <v>8220</v>
      </c>
      <c r="G802" s="1">
        <v>44981</v>
      </c>
      <c r="I802">
        <v>12</v>
      </c>
      <c r="J802" t="s">
        <v>21</v>
      </c>
      <c r="K802" t="s">
        <v>16</v>
      </c>
      <c r="L802" t="s">
        <v>23</v>
      </c>
    </row>
    <row r="803" spans="1:12" x14ac:dyDescent="0.35">
      <c r="A803">
        <v>802</v>
      </c>
      <c r="B803" t="s">
        <v>823</v>
      </c>
      <c r="C803">
        <v>52</v>
      </c>
      <c r="D803" t="s">
        <v>35</v>
      </c>
      <c r="E803" t="s">
        <v>20</v>
      </c>
      <c r="F803">
        <v>4721</v>
      </c>
      <c r="G803" s="1">
        <v>45299</v>
      </c>
      <c r="H803">
        <v>3</v>
      </c>
      <c r="I803">
        <v>7</v>
      </c>
      <c r="J803" t="s">
        <v>15</v>
      </c>
      <c r="K803" t="s">
        <v>30</v>
      </c>
      <c r="L803" t="s">
        <v>17</v>
      </c>
    </row>
    <row r="804" spans="1:12" x14ac:dyDescent="0.35">
      <c r="A804">
        <v>803</v>
      </c>
      <c r="B804" t="s">
        <v>824</v>
      </c>
      <c r="C804">
        <v>27</v>
      </c>
      <c r="D804" t="s">
        <v>35</v>
      </c>
      <c r="E804" t="s">
        <v>14</v>
      </c>
      <c r="F804">
        <v>6247</v>
      </c>
      <c r="G804" s="1">
        <v>45371</v>
      </c>
      <c r="H804">
        <v>2</v>
      </c>
      <c r="I804">
        <v>9</v>
      </c>
      <c r="J804" t="s">
        <v>15</v>
      </c>
      <c r="K804" t="s">
        <v>22</v>
      </c>
      <c r="L804" t="s">
        <v>25</v>
      </c>
    </row>
    <row r="805" spans="1:12" x14ac:dyDescent="0.35">
      <c r="A805">
        <v>804</v>
      </c>
      <c r="B805" t="s">
        <v>825</v>
      </c>
      <c r="C805">
        <v>23</v>
      </c>
      <c r="D805" t="s">
        <v>35</v>
      </c>
      <c r="E805" t="s">
        <v>27</v>
      </c>
      <c r="F805">
        <v>2372</v>
      </c>
      <c r="G805" s="1">
        <v>43983</v>
      </c>
      <c r="I805">
        <v>1</v>
      </c>
      <c r="J805" t="s">
        <v>21</v>
      </c>
      <c r="K805" t="s">
        <v>30</v>
      </c>
      <c r="L805" t="s">
        <v>25</v>
      </c>
    </row>
    <row r="806" spans="1:12" x14ac:dyDescent="0.35">
      <c r="A806">
        <v>805</v>
      </c>
      <c r="B806" t="s">
        <v>826</v>
      </c>
      <c r="C806">
        <v>53</v>
      </c>
      <c r="D806" t="s">
        <v>19</v>
      </c>
      <c r="E806" t="s">
        <v>14</v>
      </c>
      <c r="F806">
        <v>8136</v>
      </c>
      <c r="G806" s="1">
        <v>42425</v>
      </c>
      <c r="I806">
        <v>6</v>
      </c>
      <c r="J806" t="s">
        <v>21</v>
      </c>
      <c r="K806" t="s">
        <v>30</v>
      </c>
      <c r="L806" t="s">
        <v>25</v>
      </c>
    </row>
    <row r="807" spans="1:12" x14ac:dyDescent="0.35">
      <c r="A807">
        <v>806</v>
      </c>
      <c r="B807" t="s">
        <v>827</v>
      </c>
      <c r="C807">
        <v>35</v>
      </c>
      <c r="D807" t="s">
        <v>13</v>
      </c>
      <c r="E807" t="s">
        <v>20</v>
      </c>
      <c r="F807">
        <v>5940</v>
      </c>
      <c r="G807" s="1">
        <v>45277</v>
      </c>
      <c r="I807">
        <v>5</v>
      </c>
      <c r="J807" t="s">
        <v>21</v>
      </c>
      <c r="K807" t="s">
        <v>30</v>
      </c>
      <c r="L807" t="s">
        <v>23</v>
      </c>
    </row>
    <row r="808" spans="1:12" x14ac:dyDescent="0.35">
      <c r="A808">
        <v>807</v>
      </c>
      <c r="B808" t="s">
        <v>828</v>
      </c>
      <c r="C808">
        <v>61</v>
      </c>
      <c r="D808" t="s">
        <v>13</v>
      </c>
      <c r="E808" t="s">
        <v>14</v>
      </c>
      <c r="F808">
        <v>8381</v>
      </c>
      <c r="G808" s="1">
        <v>44547</v>
      </c>
      <c r="H808">
        <v>1</v>
      </c>
      <c r="I808">
        <v>8</v>
      </c>
      <c r="J808" t="s">
        <v>21</v>
      </c>
      <c r="K808" t="s">
        <v>16</v>
      </c>
      <c r="L808" t="s">
        <v>17</v>
      </c>
    </row>
    <row r="809" spans="1:12" x14ac:dyDescent="0.35">
      <c r="A809">
        <v>808</v>
      </c>
      <c r="B809" t="s">
        <v>829</v>
      </c>
      <c r="C809">
        <v>58</v>
      </c>
      <c r="D809" t="s">
        <v>13</v>
      </c>
      <c r="E809" t="s">
        <v>14</v>
      </c>
      <c r="F809">
        <v>3241</v>
      </c>
      <c r="G809" s="1">
        <v>45185</v>
      </c>
      <c r="H809">
        <v>2</v>
      </c>
      <c r="I809">
        <v>6</v>
      </c>
      <c r="J809" t="s">
        <v>15</v>
      </c>
      <c r="K809" t="s">
        <v>30</v>
      </c>
      <c r="L809" t="s">
        <v>23</v>
      </c>
    </row>
    <row r="810" spans="1:12" x14ac:dyDescent="0.35">
      <c r="A810">
        <v>809</v>
      </c>
      <c r="B810" t="s">
        <v>830</v>
      </c>
      <c r="C810">
        <v>44</v>
      </c>
      <c r="D810" t="s">
        <v>35</v>
      </c>
      <c r="E810" t="s">
        <v>27</v>
      </c>
      <c r="F810">
        <v>9092</v>
      </c>
      <c r="G810" s="1">
        <v>43262</v>
      </c>
      <c r="H810">
        <v>2</v>
      </c>
      <c r="I810">
        <v>20</v>
      </c>
      <c r="J810" t="s">
        <v>15</v>
      </c>
      <c r="K810" t="s">
        <v>30</v>
      </c>
      <c r="L810" t="s">
        <v>25</v>
      </c>
    </row>
    <row r="811" spans="1:12" x14ac:dyDescent="0.35">
      <c r="A811">
        <v>810</v>
      </c>
      <c r="B811" t="s">
        <v>831</v>
      </c>
      <c r="C811">
        <v>60</v>
      </c>
      <c r="D811" t="s">
        <v>13</v>
      </c>
      <c r="E811" t="s">
        <v>14</v>
      </c>
      <c r="F811">
        <v>3710</v>
      </c>
      <c r="G811" s="1">
        <v>45119</v>
      </c>
      <c r="H811">
        <v>0</v>
      </c>
      <c r="I811">
        <v>19</v>
      </c>
      <c r="J811" t="s">
        <v>15</v>
      </c>
      <c r="K811" t="s">
        <v>22</v>
      </c>
      <c r="L811" t="s">
        <v>23</v>
      </c>
    </row>
    <row r="812" spans="1:12" x14ac:dyDescent="0.35">
      <c r="A812">
        <v>811</v>
      </c>
      <c r="B812" t="s">
        <v>832</v>
      </c>
      <c r="C812">
        <v>62</v>
      </c>
      <c r="D812" t="s">
        <v>35</v>
      </c>
      <c r="E812" t="s">
        <v>27</v>
      </c>
      <c r="F812">
        <v>7862</v>
      </c>
      <c r="G812" s="1">
        <v>43393</v>
      </c>
      <c r="I812">
        <v>3</v>
      </c>
      <c r="J812" t="s">
        <v>21</v>
      </c>
      <c r="K812" t="s">
        <v>16</v>
      </c>
      <c r="L812" t="s">
        <v>23</v>
      </c>
    </row>
    <row r="813" spans="1:12" x14ac:dyDescent="0.35">
      <c r="A813">
        <v>812</v>
      </c>
      <c r="B813" t="s">
        <v>833</v>
      </c>
      <c r="C813">
        <v>52</v>
      </c>
      <c r="D813" t="s">
        <v>35</v>
      </c>
      <c r="E813" t="s">
        <v>14</v>
      </c>
      <c r="F813">
        <v>9993</v>
      </c>
      <c r="G813" s="1">
        <v>44162</v>
      </c>
      <c r="H813">
        <v>0</v>
      </c>
      <c r="I813">
        <v>12</v>
      </c>
      <c r="J813" t="s">
        <v>15</v>
      </c>
      <c r="K813" t="s">
        <v>30</v>
      </c>
      <c r="L813" t="s">
        <v>23</v>
      </c>
    </row>
    <row r="814" spans="1:12" x14ac:dyDescent="0.35">
      <c r="A814">
        <v>813</v>
      </c>
      <c r="B814" t="s">
        <v>834</v>
      </c>
      <c r="C814">
        <v>65</v>
      </c>
      <c r="D814" t="s">
        <v>13</v>
      </c>
      <c r="E814" t="s">
        <v>14</v>
      </c>
      <c r="F814">
        <v>4716</v>
      </c>
      <c r="G814" s="1">
        <v>42789</v>
      </c>
      <c r="H814">
        <v>5</v>
      </c>
      <c r="I814">
        <v>17</v>
      </c>
      <c r="J814" t="s">
        <v>15</v>
      </c>
      <c r="K814" t="s">
        <v>22</v>
      </c>
      <c r="L814" t="s">
        <v>23</v>
      </c>
    </row>
    <row r="815" spans="1:12" x14ac:dyDescent="0.35">
      <c r="A815">
        <v>814</v>
      </c>
      <c r="B815" t="s">
        <v>835</v>
      </c>
      <c r="C815">
        <v>27</v>
      </c>
      <c r="D815" t="s">
        <v>13</v>
      </c>
      <c r="E815" t="s">
        <v>20</v>
      </c>
      <c r="F815">
        <v>7359</v>
      </c>
      <c r="G815" s="1">
        <v>43349</v>
      </c>
      <c r="H815">
        <v>0</v>
      </c>
      <c r="I815">
        <v>7</v>
      </c>
      <c r="J815" t="s">
        <v>15</v>
      </c>
      <c r="K815" t="s">
        <v>16</v>
      </c>
      <c r="L815" t="s">
        <v>17</v>
      </c>
    </row>
    <row r="816" spans="1:12" x14ac:dyDescent="0.35">
      <c r="A816">
        <v>815</v>
      </c>
      <c r="B816" t="s">
        <v>836</v>
      </c>
      <c r="C816">
        <v>31</v>
      </c>
      <c r="D816" t="s">
        <v>13</v>
      </c>
      <c r="E816" t="s">
        <v>27</v>
      </c>
      <c r="F816">
        <v>3565</v>
      </c>
      <c r="G816" s="1">
        <v>44530</v>
      </c>
      <c r="H816">
        <v>5</v>
      </c>
      <c r="I816">
        <v>4</v>
      </c>
      <c r="J816" t="s">
        <v>15</v>
      </c>
      <c r="K816" t="s">
        <v>16</v>
      </c>
      <c r="L816" t="s">
        <v>17</v>
      </c>
    </row>
    <row r="817" spans="1:12" x14ac:dyDescent="0.35">
      <c r="A817">
        <v>816</v>
      </c>
      <c r="B817" t="s">
        <v>837</v>
      </c>
      <c r="C817">
        <v>31</v>
      </c>
      <c r="D817" t="s">
        <v>19</v>
      </c>
      <c r="E817" t="s">
        <v>14</v>
      </c>
      <c r="F817">
        <v>6825</v>
      </c>
      <c r="G817" s="1">
        <v>45081</v>
      </c>
      <c r="H817">
        <v>2</v>
      </c>
      <c r="I817">
        <v>12</v>
      </c>
      <c r="J817" t="s">
        <v>15</v>
      </c>
      <c r="K817" t="s">
        <v>16</v>
      </c>
      <c r="L817" t="s">
        <v>25</v>
      </c>
    </row>
    <row r="818" spans="1:12" x14ac:dyDescent="0.35">
      <c r="A818">
        <v>817</v>
      </c>
      <c r="B818" t="s">
        <v>838</v>
      </c>
      <c r="C818">
        <v>64</v>
      </c>
      <c r="D818" t="s">
        <v>13</v>
      </c>
      <c r="E818" t="s">
        <v>14</v>
      </c>
      <c r="F818">
        <v>5547</v>
      </c>
      <c r="G818" s="1">
        <v>45013</v>
      </c>
      <c r="I818">
        <v>7</v>
      </c>
      <c r="J818" t="s">
        <v>21</v>
      </c>
      <c r="K818" t="s">
        <v>16</v>
      </c>
      <c r="L818" t="s">
        <v>17</v>
      </c>
    </row>
    <row r="819" spans="1:12" x14ac:dyDescent="0.35">
      <c r="A819">
        <v>818</v>
      </c>
      <c r="B819" t="s">
        <v>839</v>
      </c>
      <c r="C819">
        <v>18</v>
      </c>
      <c r="D819" t="s">
        <v>13</v>
      </c>
      <c r="E819" t="s">
        <v>14</v>
      </c>
      <c r="F819">
        <v>5520</v>
      </c>
      <c r="G819" s="1">
        <v>42286</v>
      </c>
      <c r="H819">
        <v>3</v>
      </c>
      <c r="I819">
        <v>12</v>
      </c>
      <c r="J819" t="s">
        <v>21</v>
      </c>
      <c r="K819" t="s">
        <v>30</v>
      </c>
      <c r="L819" t="s">
        <v>17</v>
      </c>
    </row>
    <row r="820" spans="1:12" x14ac:dyDescent="0.35">
      <c r="A820">
        <v>819</v>
      </c>
      <c r="B820" t="s">
        <v>840</v>
      </c>
      <c r="C820">
        <v>43</v>
      </c>
      <c r="D820" t="s">
        <v>19</v>
      </c>
      <c r="E820" t="s">
        <v>20</v>
      </c>
      <c r="F820">
        <v>5163</v>
      </c>
      <c r="G820" s="1">
        <v>44895</v>
      </c>
      <c r="I820">
        <v>7</v>
      </c>
      <c r="J820" t="s">
        <v>21</v>
      </c>
      <c r="K820" t="s">
        <v>30</v>
      </c>
      <c r="L820" t="s">
        <v>25</v>
      </c>
    </row>
    <row r="821" spans="1:12" x14ac:dyDescent="0.35">
      <c r="A821">
        <v>820</v>
      </c>
      <c r="B821" t="s">
        <v>841</v>
      </c>
      <c r="C821">
        <v>54</v>
      </c>
      <c r="D821" t="s">
        <v>13</v>
      </c>
      <c r="E821" t="s">
        <v>20</v>
      </c>
      <c r="F821">
        <v>7880</v>
      </c>
      <c r="G821" s="1">
        <v>45554</v>
      </c>
      <c r="H821">
        <v>3</v>
      </c>
      <c r="I821">
        <v>6</v>
      </c>
      <c r="J821" t="s">
        <v>15</v>
      </c>
      <c r="K821" t="s">
        <v>16</v>
      </c>
      <c r="L821" t="s">
        <v>17</v>
      </c>
    </row>
    <row r="822" spans="1:12" x14ac:dyDescent="0.35">
      <c r="A822">
        <v>821</v>
      </c>
      <c r="B822" t="s">
        <v>842</v>
      </c>
      <c r="C822">
        <v>31</v>
      </c>
      <c r="D822" t="s">
        <v>35</v>
      </c>
      <c r="E822" t="s">
        <v>20</v>
      </c>
      <c r="F822">
        <v>8949</v>
      </c>
      <c r="G822" s="1">
        <v>43394</v>
      </c>
      <c r="I822">
        <v>5</v>
      </c>
      <c r="J822" t="s">
        <v>21</v>
      </c>
      <c r="K822" t="s">
        <v>16</v>
      </c>
      <c r="L822" t="s">
        <v>25</v>
      </c>
    </row>
    <row r="823" spans="1:12" x14ac:dyDescent="0.35">
      <c r="A823">
        <v>822</v>
      </c>
      <c r="B823" t="s">
        <v>843</v>
      </c>
      <c r="C823">
        <v>26</v>
      </c>
      <c r="D823" t="s">
        <v>19</v>
      </c>
      <c r="E823" t="s">
        <v>14</v>
      </c>
      <c r="F823">
        <v>6872</v>
      </c>
      <c r="G823" s="1">
        <v>42977</v>
      </c>
      <c r="I823">
        <v>15</v>
      </c>
      <c r="J823" t="s">
        <v>15</v>
      </c>
      <c r="K823" t="s">
        <v>30</v>
      </c>
      <c r="L823" t="s">
        <v>17</v>
      </c>
    </row>
    <row r="824" spans="1:12" x14ac:dyDescent="0.35">
      <c r="A824">
        <v>823</v>
      </c>
      <c r="B824" t="s">
        <v>844</v>
      </c>
      <c r="C824">
        <v>52</v>
      </c>
      <c r="D824" t="s">
        <v>13</v>
      </c>
      <c r="E824" t="s">
        <v>27</v>
      </c>
      <c r="F824">
        <v>5262</v>
      </c>
      <c r="G824" s="1">
        <v>42994</v>
      </c>
      <c r="I824">
        <v>9</v>
      </c>
      <c r="J824" t="s">
        <v>21</v>
      </c>
      <c r="K824" t="s">
        <v>30</v>
      </c>
      <c r="L824" t="s">
        <v>25</v>
      </c>
    </row>
    <row r="825" spans="1:12" x14ac:dyDescent="0.35">
      <c r="A825">
        <v>824</v>
      </c>
      <c r="B825" t="s">
        <v>845</v>
      </c>
      <c r="C825">
        <v>52</v>
      </c>
      <c r="D825" t="s">
        <v>19</v>
      </c>
      <c r="E825" t="s">
        <v>27</v>
      </c>
      <c r="F825">
        <v>7966</v>
      </c>
      <c r="G825" s="1">
        <v>44866</v>
      </c>
      <c r="H825">
        <v>1</v>
      </c>
      <c r="I825">
        <v>13</v>
      </c>
      <c r="J825" t="s">
        <v>21</v>
      </c>
      <c r="K825" t="s">
        <v>16</v>
      </c>
      <c r="L825" t="s">
        <v>17</v>
      </c>
    </row>
    <row r="826" spans="1:12" x14ac:dyDescent="0.35">
      <c r="A826">
        <v>825</v>
      </c>
      <c r="B826" t="s">
        <v>846</v>
      </c>
      <c r="C826">
        <v>65</v>
      </c>
      <c r="D826" t="s">
        <v>13</v>
      </c>
      <c r="E826" t="s">
        <v>27</v>
      </c>
      <c r="F826">
        <v>3535</v>
      </c>
      <c r="G826" s="1">
        <v>43959</v>
      </c>
      <c r="H826">
        <v>0</v>
      </c>
      <c r="I826">
        <v>19</v>
      </c>
      <c r="J826" t="s">
        <v>15</v>
      </c>
      <c r="K826" t="s">
        <v>16</v>
      </c>
      <c r="L826" t="s">
        <v>25</v>
      </c>
    </row>
    <row r="827" spans="1:12" x14ac:dyDescent="0.35">
      <c r="A827">
        <v>826</v>
      </c>
      <c r="B827" t="s">
        <v>847</v>
      </c>
      <c r="C827">
        <v>54</v>
      </c>
      <c r="D827" t="s">
        <v>19</v>
      </c>
      <c r="E827" t="s">
        <v>27</v>
      </c>
      <c r="F827">
        <v>9279</v>
      </c>
      <c r="G827" s="1">
        <v>44279</v>
      </c>
      <c r="I827">
        <v>18</v>
      </c>
      <c r="J827" t="s">
        <v>21</v>
      </c>
      <c r="K827" t="s">
        <v>16</v>
      </c>
      <c r="L827" t="s">
        <v>25</v>
      </c>
    </row>
    <row r="828" spans="1:12" x14ac:dyDescent="0.35">
      <c r="A828">
        <v>827</v>
      </c>
      <c r="B828" t="s">
        <v>848</v>
      </c>
      <c r="C828">
        <v>60</v>
      </c>
      <c r="D828" t="s">
        <v>35</v>
      </c>
      <c r="E828" t="s">
        <v>27</v>
      </c>
      <c r="F828">
        <v>4635</v>
      </c>
      <c r="G828" s="1">
        <v>45215</v>
      </c>
      <c r="H828">
        <v>5</v>
      </c>
      <c r="I828">
        <v>9</v>
      </c>
      <c r="J828" t="s">
        <v>21</v>
      </c>
      <c r="K828" t="s">
        <v>16</v>
      </c>
      <c r="L828" t="s">
        <v>17</v>
      </c>
    </row>
    <row r="829" spans="1:12" x14ac:dyDescent="0.35">
      <c r="A829">
        <v>828</v>
      </c>
      <c r="B829" t="s">
        <v>849</v>
      </c>
      <c r="C829">
        <v>20</v>
      </c>
      <c r="D829" t="s">
        <v>19</v>
      </c>
      <c r="E829" t="s">
        <v>27</v>
      </c>
      <c r="F829">
        <v>3716</v>
      </c>
      <c r="G829" s="1">
        <v>44933</v>
      </c>
      <c r="H829">
        <v>3</v>
      </c>
      <c r="I829">
        <v>11</v>
      </c>
      <c r="J829" t="s">
        <v>21</v>
      </c>
      <c r="K829" t="s">
        <v>30</v>
      </c>
      <c r="L829" t="s">
        <v>17</v>
      </c>
    </row>
    <row r="830" spans="1:12" x14ac:dyDescent="0.35">
      <c r="A830">
        <v>829</v>
      </c>
      <c r="B830" t="s">
        <v>850</v>
      </c>
      <c r="C830">
        <v>55</v>
      </c>
      <c r="D830" t="s">
        <v>19</v>
      </c>
      <c r="E830" t="s">
        <v>20</v>
      </c>
      <c r="F830">
        <v>7497</v>
      </c>
      <c r="G830" s="1">
        <v>45325</v>
      </c>
      <c r="H830">
        <v>1</v>
      </c>
      <c r="I830">
        <v>20</v>
      </c>
      <c r="J830" t="s">
        <v>21</v>
      </c>
      <c r="K830" t="s">
        <v>16</v>
      </c>
      <c r="L830" t="s">
        <v>25</v>
      </c>
    </row>
    <row r="831" spans="1:12" x14ac:dyDescent="0.35">
      <c r="A831">
        <v>830</v>
      </c>
      <c r="B831" t="s">
        <v>851</v>
      </c>
      <c r="C831">
        <v>50</v>
      </c>
      <c r="D831" t="s">
        <v>13</v>
      </c>
      <c r="E831" t="s">
        <v>20</v>
      </c>
      <c r="F831">
        <v>7236</v>
      </c>
      <c r="G831" s="1">
        <v>45339</v>
      </c>
      <c r="I831">
        <v>12</v>
      </c>
      <c r="J831" t="s">
        <v>21</v>
      </c>
      <c r="K831" t="s">
        <v>16</v>
      </c>
      <c r="L831" t="s">
        <v>25</v>
      </c>
    </row>
    <row r="832" spans="1:12" x14ac:dyDescent="0.35">
      <c r="A832">
        <v>831</v>
      </c>
      <c r="B832" t="s">
        <v>852</v>
      </c>
      <c r="C832">
        <v>25</v>
      </c>
      <c r="D832" t="s">
        <v>35</v>
      </c>
      <c r="E832" t="s">
        <v>27</v>
      </c>
      <c r="F832">
        <v>3612</v>
      </c>
      <c r="G832" s="1">
        <v>44488</v>
      </c>
      <c r="I832">
        <v>15</v>
      </c>
      <c r="J832" t="s">
        <v>21</v>
      </c>
      <c r="K832" t="s">
        <v>16</v>
      </c>
      <c r="L832" t="s">
        <v>23</v>
      </c>
    </row>
    <row r="833" spans="1:12" x14ac:dyDescent="0.35">
      <c r="A833">
        <v>832</v>
      </c>
      <c r="B833" t="s">
        <v>853</v>
      </c>
      <c r="C833">
        <v>18</v>
      </c>
      <c r="D833" t="s">
        <v>35</v>
      </c>
      <c r="E833" t="s">
        <v>27</v>
      </c>
      <c r="F833">
        <v>7530</v>
      </c>
      <c r="G833" s="1">
        <v>42543</v>
      </c>
      <c r="H833">
        <v>2</v>
      </c>
      <c r="I833">
        <v>1</v>
      </c>
      <c r="J833" t="s">
        <v>21</v>
      </c>
      <c r="K833" t="s">
        <v>16</v>
      </c>
      <c r="L833" t="s">
        <v>25</v>
      </c>
    </row>
    <row r="834" spans="1:12" x14ac:dyDescent="0.35">
      <c r="A834">
        <v>833</v>
      </c>
      <c r="B834" t="s">
        <v>854</v>
      </c>
      <c r="C834">
        <v>54</v>
      </c>
      <c r="D834" t="s">
        <v>13</v>
      </c>
      <c r="E834" t="s">
        <v>20</v>
      </c>
      <c r="F834">
        <v>4232</v>
      </c>
      <c r="G834" s="1">
        <v>42188</v>
      </c>
      <c r="H834">
        <v>5</v>
      </c>
      <c r="I834">
        <v>3</v>
      </c>
      <c r="J834" t="s">
        <v>15</v>
      </c>
      <c r="K834" t="s">
        <v>30</v>
      </c>
      <c r="L834" t="s">
        <v>25</v>
      </c>
    </row>
    <row r="835" spans="1:12" x14ac:dyDescent="0.35">
      <c r="A835">
        <v>834</v>
      </c>
      <c r="B835" t="s">
        <v>855</v>
      </c>
      <c r="C835">
        <v>63</v>
      </c>
      <c r="D835" t="s">
        <v>35</v>
      </c>
      <c r="E835" t="s">
        <v>20</v>
      </c>
      <c r="F835">
        <v>6576</v>
      </c>
      <c r="G835" s="1">
        <v>42377</v>
      </c>
      <c r="H835">
        <v>0</v>
      </c>
      <c r="I835">
        <v>11</v>
      </c>
      <c r="J835" t="s">
        <v>15</v>
      </c>
      <c r="K835" t="s">
        <v>22</v>
      </c>
      <c r="L835" t="s">
        <v>23</v>
      </c>
    </row>
    <row r="836" spans="1:12" x14ac:dyDescent="0.35">
      <c r="A836">
        <v>835</v>
      </c>
      <c r="B836" t="s">
        <v>856</v>
      </c>
      <c r="C836">
        <v>53</v>
      </c>
      <c r="D836" t="s">
        <v>19</v>
      </c>
      <c r="E836" t="s">
        <v>14</v>
      </c>
      <c r="F836">
        <v>4215</v>
      </c>
      <c r="G836" s="1">
        <v>44884</v>
      </c>
      <c r="H836">
        <v>1</v>
      </c>
      <c r="I836">
        <v>9</v>
      </c>
      <c r="J836" t="s">
        <v>15</v>
      </c>
      <c r="K836" t="s">
        <v>22</v>
      </c>
      <c r="L836" t="s">
        <v>25</v>
      </c>
    </row>
    <row r="837" spans="1:12" x14ac:dyDescent="0.35">
      <c r="A837">
        <v>836</v>
      </c>
      <c r="B837" t="s">
        <v>857</v>
      </c>
      <c r="C837">
        <v>47</v>
      </c>
      <c r="D837" t="s">
        <v>13</v>
      </c>
      <c r="E837" t="s">
        <v>14</v>
      </c>
      <c r="F837">
        <v>4906</v>
      </c>
      <c r="G837" s="1">
        <v>43624</v>
      </c>
      <c r="H837">
        <v>2</v>
      </c>
      <c r="I837">
        <v>8</v>
      </c>
      <c r="J837" t="s">
        <v>21</v>
      </c>
      <c r="K837" t="s">
        <v>30</v>
      </c>
      <c r="L837" t="s">
        <v>17</v>
      </c>
    </row>
    <row r="838" spans="1:12" x14ac:dyDescent="0.35">
      <c r="A838">
        <v>837</v>
      </c>
      <c r="B838" t="s">
        <v>858</v>
      </c>
      <c r="C838">
        <v>42</v>
      </c>
      <c r="D838" t="s">
        <v>13</v>
      </c>
      <c r="E838" t="s">
        <v>27</v>
      </c>
      <c r="F838">
        <v>7551</v>
      </c>
      <c r="G838" s="1">
        <v>43201</v>
      </c>
      <c r="H838">
        <v>5</v>
      </c>
      <c r="I838">
        <v>10</v>
      </c>
      <c r="J838" t="s">
        <v>21</v>
      </c>
      <c r="K838" t="s">
        <v>30</v>
      </c>
      <c r="L838" t="s">
        <v>17</v>
      </c>
    </row>
    <row r="839" spans="1:12" x14ac:dyDescent="0.35">
      <c r="A839">
        <v>838</v>
      </c>
      <c r="B839" t="s">
        <v>859</v>
      </c>
      <c r="C839">
        <v>36</v>
      </c>
      <c r="D839" t="s">
        <v>19</v>
      </c>
      <c r="E839" t="s">
        <v>14</v>
      </c>
      <c r="F839">
        <v>7188</v>
      </c>
      <c r="G839" s="1">
        <v>45022</v>
      </c>
      <c r="I839">
        <v>18</v>
      </c>
      <c r="J839" t="s">
        <v>21</v>
      </c>
      <c r="K839" t="s">
        <v>30</v>
      </c>
      <c r="L839" t="s">
        <v>23</v>
      </c>
    </row>
    <row r="840" spans="1:12" x14ac:dyDescent="0.35">
      <c r="A840">
        <v>839</v>
      </c>
      <c r="B840" t="s">
        <v>860</v>
      </c>
      <c r="C840">
        <v>59</v>
      </c>
      <c r="D840" t="s">
        <v>13</v>
      </c>
      <c r="E840" t="s">
        <v>20</v>
      </c>
      <c r="F840">
        <v>2801</v>
      </c>
      <c r="G840" s="1">
        <v>42101</v>
      </c>
      <c r="H840">
        <v>2</v>
      </c>
      <c r="I840">
        <v>9</v>
      </c>
      <c r="J840" t="s">
        <v>21</v>
      </c>
      <c r="K840" t="s">
        <v>22</v>
      </c>
      <c r="L840" t="s">
        <v>23</v>
      </c>
    </row>
    <row r="841" spans="1:12" x14ac:dyDescent="0.35">
      <c r="A841">
        <v>840</v>
      </c>
      <c r="B841" t="s">
        <v>861</v>
      </c>
      <c r="C841">
        <v>22</v>
      </c>
      <c r="D841" t="s">
        <v>13</v>
      </c>
      <c r="E841" t="s">
        <v>14</v>
      </c>
      <c r="F841">
        <v>7904</v>
      </c>
      <c r="G841" s="1">
        <v>45321</v>
      </c>
      <c r="H841">
        <v>2</v>
      </c>
      <c r="I841">
        <v>10</v>
      </c>
      <c r="J841" t="s">
        <v>21</v>
      </c>
      <c r="K841" t="s">
        <v>30</v>
      </c>
      <c r="L841" t="s">
        <v>17</v>
      </c>
    </row>
    <row r="842" spans="1:12" x14ac:dyDescent="0.35">
      <c r="A842">
        <v>841</v>
      </c>
      <c r="B842" t="s">
        <v>862</v>
      </c>
      <c r="C842">
        <v>60</v>
      </c>
      <c r="D842" t="s">
        <v>19</v>
      </c>
      <c r="E842" t="s">
        <v>14</v>
      </c>
      <c r="F842">
        <v>8240</v>
      </c>
      <c r="G842" s="1">
        <v>43066</v>
      </c>
      <c r="H842">
        <v>4</v>
      </c>
      <c r="I842">
        <v>13</v>
      </c>
      <c r="J842" t="s">
        <v>21</v>
      </c>
      <c r="K842" t="s">
        <v>16</v>
      </c>
      <c r="L842" t="s">
        <v>17</v>
      </c>
    </row>
    <row r="843" spans="1:12" x14ac:dyDescent="0.35">
      <c r="A843">
        <v>842</v>
      </c>
      <c r="B843" t="s">
        <v>863</v>
      </c>
      <c r="C843">
        <v>30</v>
      </c>
      <c r="D843" t="s">
        <v>13</v>
      </c>
      <c r="E843" t="s">
        <v>20</v>
      </c>
      <c r="F843">
        <v>2087</v>
      </c>
      <c r="G843" s="1">
        <v>42013</v>
      </c>
      <c r="H843">
        <v>5</v>
      </c>
      <c r="I843">
        <v>6</v>
      </c>
      <c r="J843" t="s">
        <v>21</v>
      </c>
      <c r="K843" t="s">
        <v>22</v>
      </c>
      <c r="L843" t="s">
        <v>25</v>
      </c>
    </row>
    <row r="844" spans="1:12" x14ac:dyDescent="0.35">
      <c r="A844">
        <v>843</v>
      </c>
      <c r="B844" t="s">
        <v>864</v>
      </c>
      <c r="C844">
        <v>36</v>
      </c>
      <c r="D844" t="s">
        <v>13</v>
      </c>
      <c r="E844" t="s">
        <v>20</v>
      </c>
      <c r="F844">
        <v>8775</v>
      </c>
      <c r="G844" s="1">
        <v>44347</v>
      </c>
      <c r="I844">
        <v>3</v>
      </c>
      <c r="J844" t="s">
        <v>21</v>
      </c>
      <c r="K844" t="s">
        <v>22</v>
      </c>
      <c r="L844" t="s">
        <v>23</v>
      </c>
    </row>
    <row r="845" spans="1:12" x14ac:dyDescent="0.35">
      <c r="A845">
        <v>844</v>
      </c>
      <c r="B845" t="s">
        <v>865</v>
      </c>
      <c r="C845">
        <v>21</v>
      </c>
      <c r="D845" t="s">
        <v>19</v>
      </c>
      <c r="E845" t="s">
        <v>27</v>
      </c>
      <c r="F845">
        <v>9051</v>
      </c>
      <c r="G845" s="1">
        <v>44281</v>
      </c>
      <c r="H845">
        <v>5</v>
      </c>
      <c r="I845">
        <v>20</v>
      </c>
      <c r="J845" t="s">
        <v>21</v>
      </c>
      <c r="K845" t="s">
        <v>16</v>
      </c>
      <c r="L845" t="s">
        <v>23</v>
      </c>
    </row>
    <row r="846" spans="1:12" x14ac:dyDescent="0.35">
      <c r="A846">
        <v>845</v>
      </c>
      <c r="B846" t="s">
        <v>866</v>
      </c>
      <c r="C846">
        <v>33</v>
      </c>
      <c r="D846" t="s">
        <v>19</v>
      </c>
      <c r="E846" t="s">
        <v>20</v>
      </c>
      <c r="F846">
        <v>9693</v>
      </c>
      <c r="G846" s="1">
        <v>42976</v>
      </c>
      <c r="I846">
        <v>17</v>
      </c>
      <c r="J846" t="s">
        <v>21</v>
      </c>
      <c r="K846" t="s">
        <v>16</v>
      </c>
      <c r="L846" t="s">
        <v>25</v>
      </c>
    </row>
    <row r="847" spans="1:12" x14ac:dyDescent="0.35">
      <c r="A847">
        <v>846</v>
      </c>
      <c r="B847" t="s">
        <v>867</v>
      </c>
      <c r="C847">
        <v>36</v>
      </c>
      <c r="D847" t="s">
        <v>35</v>
      </c>
      <c r="E847" t="s">
        <v>14</v>
      </c>
      <c r="F847">
        <v>4316</v>
      </c>
      <c r="G847" s="1">
        <v>44243</v>
      </c>
      <c r="H847">
        <v>0</v>
      </c>
      <c r="I847">
        <v>17</v>
      </c>
      <c r="J847" t="s">
        <v>15</v>
      </c>
      <c r="K847" t="s">
        <v>30</v>
      </c>
      <c r="L847" t="s">
        <v>23</v>
      </c>
    </row>
    <row r="848" spans="1:12" x14ac:dyDescent="0.35">
      <c r="A848">
        <v>847</v>
      </c>
      <c r="B848" t="s">
        <v>868</v>
      </c>
      <c r="C848">
        <v>35</v>
      </c>
      <c r="D848" t="s">
        <v>35</v>
      </c>
      <c r="E848" t="s">
        <v>14</v>
      </c>
      <c r="F848">
        <v>7435</v>
      </c>
      <c r="G848" s="1">
        <v>43454</v>
      </c>
      <c r="I848">
        <v>19</v>
      </c>
      <c r="J848" t="s">
        <v>21</v>
      </c>
      <c r="K848" t="s">
        <v>30</v>
      </c>
      <c r="L848" t="s">
        <v>25</v>
      </c>
    </row>
    <row r="849" spans="1:12" x14ac:dyDescent="0.35">
      <c r="A849">
        <v>848</v>
      </c>
      <c r="B849" t="s">
        <v>869</v>
      </c>
      <c r="C849">
        <v>55</v>
      </c>
      <c r="D849" t="s">
        <v>19</v>
      </c>
      <c r="E849" t="s">
        <v>20</v>
      </c>
      <c r="F849">
        <v>4560</v>
      </c>
      <c r="G849" s="1">
        <v>44940</v>
      </c>
      <c r="I849">
        <v>20</v>
      </c>
      <c r="J849" t="s">
        <v>21</v>
      </c>
      <c r="K849" t="s">
        <v>30</v>
      </c>
      <c r="L849" t="s">
        <v>25</v>
      </c>
    </row>
    <row r="850" spans="1:12" x14ac:dyDescent="0.35">
      <c r="A850">
        <v>849</v>
      </c>
      <c r="B850" t="s">
        <v>870</v>
      </c>
      <c r="C850">
        <v>55</v>
      </c>
      <c r="D850" t="s">
        <v>13</v>
      </c>
      <c r="E850" t="s">
        <v>20</v>
      </c>
      <c r="F850">
        <v>6659</v>
      </c>
      <c r="G850" s="1">
        <v>44354</v>
      </c>
      <c r="H850">
        <v>2</v>
      </c>
      <c r="I850">
        <v>18</v>
      </c>
      <c r="J850" t="s">
        <v>21</v>
      </c>
      <c r="K850" t="s">
        <v>30</v>
      </c>
      <c r="L850" t="s">
        <v>17</v>
      </c>
    </row>
    <row r="851" spans="1:12" x14ac:dyDescent="0.35">
      <c r="A851">
        <v>850</v>
      </c>
      <c r="B851" t="s">
        <v>871</v>
      </c>
      <c r="C851">
        <v>26</v>
      </c>
      <c r="D851" t="s">
        <v>35</v>
      </c>
      <c r="E851" t="s">
        <v>14</v>
      </c>
      <c r="F851">
        <v>8255</v>
      </c>
      <c r="G851" s="1">
        <v>42967</v>
      </c>
      <c r="H851">
        <v>0</v>
      </c>
      <c r="I851">
        <v>2</v>
      </c>
      <c r="J851" t="s">
        <v>15</v>
      </c>
      <c r="K851" t="s">
        <v>16</v>
      </c>
      <c r="L851" t="s">
        <v>23</v>
      </c>
    </row>
    <row r="852" spans="1:12" x14ac:dyDescent="0.35">
      <c r="A852">
        <v>851</v>
      </c>
      <c r="B852" t="s">
        <v>872</v>
      </c>
      <c r="C852">
        <v>59</v>
      </c>
      <c r="D852" t="s">
        <v>19</v>
      </c>
      <c r="E852" t="s">
        <v>27</v>
      </c>
      <c r="F852">
        <v>5937</v>
      </c>
      <c r="G852" s="1">
        <v>45214</v>
      </c>
      <c r="H852">
        <v>4</v>
      </c>
      <c r="I852">
        <v>11</v>
      </c>
      <c r="J852" t="s">
        <v>21</v>
      </c>
      <c r="K852" t="s">
        <v>30</v>
      </c>
      <c r="L852" t="s">
        <v>17</v>
      </c>
    </row>
    <row r="853" spans="1:12" x14ac:dyDescent="0.35">
      <c r="A853">
        <v>852</v>
      </c>
      <c r="B853" t="s">
        <v>873</v>
      </c>
      <c r="C853">
        <v>61</v>
      </c>
      <c r="D853" t="s">
        <v>19</v>
      </c>
      <c r="E853" t="s">
        <v>20</v>
      </c>
      <c r="F853">
        <v>7347</v>
      </c>
      <c r="G853" s="1">
        <v>43031</v>
      </c>
      <c r="H853">
        <v>5</v>
      </c>
      <c r="I853">
        <v>8</v>
      </c>
      <c r="J853" t="s">
        <v>15</v>
      </c>
      <c r="K853" t="s">
        <v>16</v>
      </c>
      <c r="L853" t="s">
        <v>17</v>
      </c>
    </row>
    <row r="854" spans="1:12" x14ac:dyDescent="0.35">
      <c r="A854">
        <v>853</v>
      </c>
      <c r="B854" t="s">
        <v>874</v>
      </c>
      <c r="C854">
        <v>60</v>
      </c>
      <c r="D854" t="s">
        <v>35</v>
      </c>
      <c r="E854" t="s">
        <v>27</v>
      </c>
      <c r="F854">
        <v>6762</v>
      </c>
      <c r="G854" s="1">
        <v>42938</v>
      </c>
      <c r="H854">
        <v>3</v>
      </c>
      <c r="I854">
        <v>2</v>
      </c>
      <c r="J854" t="s">
        <v>21</v>
      </c>
      <c r="K854" t="s">
        <v>16</v>
      </c>
      <c r="L854" t="s">
        <v>23</v>
      </c>
    </row>
    <row r="855" spans="1:12" x14ac:dyDescent="0.35">
      <c r="A855">
        <v>854</v>
      </c>
      <c r="B855" t="s">
        <v>875</v>
      </c>
      <c r="C855">
        <v>61</v>
      </c>
      <c r="D855" t="s">
        <v>35</v>
      </c>
      <c r="E855" t="s">
        <v>27</v>
      </c>
      <c r="F855">
        <v>5369</v>
      </c>
      <c r="G855" s="1">
        <v>45372</v>
      </c>
      <c r="H855">
        <v>1</v>
      </c>
      <c r="I855">
        <v>7</v>
      </c>
      <c r="J855" t="s">
        <v>15</v>
      </c>
      <c r="K855" t="s">
        <v>22</v>
      </c>
      <c r="L855" t="s">
        <v>17</v>
      </c>
    </row>
    <row r="856" spans="1:12" x14ac:dyDescent="0.35">
      <c r="A856">
        <v>855</v>
      </c>
      <c r="B856" t="s">
        <v>876</v>
      </c>
      <c r="C856">
        <v>54</v>
      </c>
      <c r="D856" t="s">
        <v>35</v>
      </c>
      <c r="E856" t="s">
        <v>20</v>
      </c>
      <c r="F856">
        <v>6897</v>
      </c>
      <c r="G856" s="1">
        <v>44198</v>
      </c>
      <c r="H856">
        <v>2</v>
      </c>
      <c r="I856">
        <v>20</v>
      </c>
      <c r="J856" t="s">
        <v>15</v>
      </c>
      <c r="K856" t="s">
        <v>22</v>
      </c>
      <c r="L856" t="s">
        <v>23</v>
      </c>
    </row>
    <row r="857" spans="1:12" x14ac:dyDescent="0.35">
      <c r="A857">
        <v>856</v>
      </c>
      <c r="B857" t="s">
        <v>877</v>
      </c>
      <c r="C857">
        <v>24</v>
      </c>
      <c r="D857" t="s">
        <v>19</v>
      </c>
      <c r="E857" t="s">
        <v>27</v>
      </c>
      <c r="F857">
        <v>2499</v>
      </c>
      <c r="G857" s="1">
        <v>43331</v>
      </c>
      <c r="I857">
        <v>8</v>
      </c>
      <c r="J857" t="s">
        <v>15</v>
      </c>
      <c r="K857" t="s">
        <v>16</v>
      </c>
      <c r="L857" t="s">
        <v>17</v>
      </c>
    </row>
    <row r="858" spans="1:12" x14ac:dyDescent="0.35">
      <c r="A858">
        <v>857</v>
      </c>
      <c r="B858" t="s">
        <v>878</v>
      </c>
      <c r="C858">
        <v>23</v>
      </c>
      <c r="D858" t="s">
        <v>35</v>
      </c>
      <c r="E858" t="s">
        <v>14</v>
      </c>
      <c r="F858">
        <v>7314</v>
      </c>
      <c r="G858" s="1">
        <v>42373</v>
      </c>
      <c r="H858">
        <v>0</v>
      </c>
      <c r="I858">
        <v>17</v>
      </c>
      <c r="J858" t="s">
        <v>15</v>
      </c>
      <c r="K858" t="s">
        <v>22</v>
      </c>
      <c r="L858" t="s">
        <v>25</v>
      </c>
    </row>
    <row r="859" spans="1:12" x14ac:dyDescent="0.35">
      <c r="A859">
        <v>858</v>
      </c>
      <c r="B859" t="s">
        <v>879</v>
      </c>
      <c r="C859">
        <v>41</v>
      </c>
      <c r="D859" t="s">
        <v>35</v>
      </c>
      <c r="E859" t="s">
        <v>14</v>
      </c>
      <c r="F859">
        <v>9285</v>
      </c>
      <c r="G859" s="1">
        <v>45027</v>
      </c>
      <c r="H859">
        <v>3</v>
      </c>
      <c r="I859">
        <v>19</v>
      </c>
      <c r="J859" t="s">
        <v>15</v>
      </c>
      <c r="K859" t="s">
        <v>16</v>
      </c>
      <c r="L859" t="s">
        <v>23</v>
      </c>
    </row>
    <row r="860" spans="1:12" x14ac:dyDescent="0.35">
      <c r="A860">
        <v>859</v>
      </c>
      <c r="B860" t="s">
        <v>880</v>
      </c>
      <c r="C860">
        <v>41</v>
      </c>
      <c r="D860" t="s">
        <v>19</v>
      </c>
      <c r="E860" t="s">
        <v>20</v>
      </c>
      <c r="F860">
        <v>7503</v>
      </c>
      <c r="G860" s="1">
        <v>43342</v>
      </c>
      <c r="I860">
        <v>6</v>
      </c>
      <c r="J860" t="s">
        <v>15</v>
      </c>
      <c r="K860" t="s">
        <v>16</v>
      </c>
      <c r="L860" t="s">
        <v>25</v>
      </c>
    </row>
    <row r="861" spans="1:12" x14ac:dyDescent="0.35">
      <c r="A861">
        <v>860</v>
      </c>
      <c r="B861" t="s">
        <v>881</v>
      </c>
      <c r="C861">
        <v>28</v>
      </c>
      <c r="D861" t="s">
        <v>13</v>
      </c>
      <c r="E861" t="s">
        <v>27</v>
      </c>
      <c r="F861">
        <v>8971</v>
      </c>
      <c r="G861" s="1">
        <v>42450</v>
      </c>
      <c r="I861">
        <v>17</v>
      </c>
      <c r="J861" t="s">
        <v>21</v>
      </c>
      <c r="K861" t="s">
        <v>16</v>
      </c>
      <c r="L861" t="s">
        <v>17</v>
      </c>
    </row>
    <row r="862" spans="1:12" x14ac:dyDescent="0.35">
      <c r="A862">
        <v>861</v>
      </c>
      <c r="B862" t="s">
        <v>882</v>
      </c>
      <c r="C862">
        <v>23</v>
      </c>
      <c r="D862" t="s">
        <v>19</v>
      </c>
      <c r="E862" t="s">
        <v>14</v>
      </c>
      <c r="F862">
        <v>7176</v>
      </c>
      <c r="G862" s="1">
        <v>42076</v>
      </c>
      <c r="H862">
        <v>4</v>
      </c>
      <c r="I862">
        <v>6</v>
      </c>
      <c r="J862" t="s">
        <v>15</v>
      </c>
      <c r="K862" t="s">
        <v>22</v>
      </c>
      <c r="L862" t="s">
        <v>23</v>
      </c>
    </row>
    <row r="863" spans="1:12" x14ac:dyDescent="0.35">
      <c r="A863">
        <v>862</v>
      </c>
      <c r="B863" t="s">
        <v>883</v>
      </c>
      <c r="C863">
        <v>45</v>
      </c>
      <c r="D863" t="s">
        <v>35</v>
      </c>
      <c r="E863" t="s">
        <v>14</v>
      </c>
      <c r="F863">
        <v>4808</v>
      </c>
      <c r="G863" s="1">
        <v>43812</v>
      </c>
      <c r="H863">
        <v>2</v>
      </c>
      <c r="I863">
        <v>10</v>
      </c>
      <c r="J863" t="s">
        <v>15</v>
      </c>
      <c r="K863" t="s">
        <v>22</v>
      </c>
      <c r="L863" t="s">
        <v>23</v>
      </c>
    </row>
    <row r="864" spans="1:12" x14ac:dyDescent="0.35">
      <c r="A864">
        <v>863</v>
      </c>
      <c r="B864" t="s">
        <v>884</v>
      </c>
      <c r="C864">
        <v>28</v>
      </c>
      <c r="D864" t="s">
        <v>35</v>
      </c>
      <c r="E864" t="s">
        <v>14</v>
      </c>
      <c r="F864">
        <v>8191</v>
      </c>
      <c r="G864" s="1">
        <v>44602</v>
      </c>
      <c r="H864">
        <v>0</v>
      </c>
      <c r="I864">
        <v>2</v>
      </c>
      <c r="J864" t="s">
        <v>15</v>
      </c>
      <c r="K864" t="s">
        <v>16</v>
      </c>
      <c r="L864" t="s">
        <v>25</v>
      </c>
    </row>
    <row r="865" spans="1:12" x14ac:dyDescent="0.35">
      <c r="A865">
        <v>864</v>
      </c>
      <c r="B865" t="s">
        <v>885</v>
      </c>
      <c r="C865">
        <v>39</v>
      </c>
      <c r="D865" t="s">
        <v>35</v>
      </c>
      <c r="E865" t="s">
        <v>14</v>
      </c>
      <c r="F865">
        <v>2947</v>
      </c>
      <c r="G865" s="1">
        <v>44473</v>
      </c>
      <c r="I865">
        <v>10</v>
      </c>
      <c r="J865" t="s">
        <v>21</v>
      </c>
      <c r="K865" t="s">
        <v>22</v>
      </c>
      <c r="L865" t="s">
        <v>23</v>
      </c>
    </row>
    <row r="866" spans="1:12" x14ac:dyDescent="0.35">
      <c r="A866">
        <v>865</v>
      </c>
      <c r="B866" t="s">
        <v>886</v>
      </c>
      <c r="C866">
        <v>47</v>
      </c>
      <c r="D866" t="s">
        <v>35</v>
      </c>
      <c r="E866" t="s">
        <v>20</v>
      </c>
      <c r="F866">
        <v>8619</v>
      </c>
      <c r="G866" s="1">
        <v>45527</v>
      </c>
      <c r="H866">
        <v>2</v>
      </c>
      <c r="I866">
        <v>13</v>
      </c>
      <c r="J866" t="s">
        <v>15</v>
      </c>
      <c r="K866" t="s">
        <v>22</v>
      </c>
      <c r="L866" t="s">
        <v>17</v>
      </c>
    </row>
    <row r="867" spans="1:12" x14ac:dyDescent="0.35">
      <c r="A867">
        <v>866</v>
      </c>
      <c r="B867" t="s">
        <v>887</v>
      </c>
      <c r="C867">
        <v>19</v>
      </c>
      <c r="D867" t="s">
        <v>13</v>
      </c>
      <c r="E867" t="s">
        <v>14</v>
      </c>
      <c r="F867">
        <v>5015</v>
      </c>
      <c r="G867" s="1">
        <v>44403</v>
      </c>
      <c r="H867">
        <v>5</v>
      </c>
      <c r="I867">
        <v>8</v>
      </c>
      <c r="J867" t="s">
        <v>21</v>
      </c>
      <c r="K867" t="s">
        <v>22</v>
      </c>
      <c r="L867" t="s">
        <v>23</v>
      </c>
    </row>
    <row r="868" spans="1:12" x14ac:dyDescent="0.35">
      <c r="A868">
        <v>867</v>
      </c>
      <c r="B868" t="s">
        <v>888</v>
      </c>
      <c r="C868">
        <v>22</v>
      </c>
      <c r="D868" t="s">
        <v>35</v>
      </c>
      <c r="E868" t="s">
        <v>20</v>
      </c>
      <c r="F868">
        <v>5700</v>
      </c>
      <c r="G868" s="1">
        <v>44454</v>
      </c>
      <c r="H868">
        <v>5</v>
      </c>
      <c r="I868">
        <v>16</v>
      </c>
      <c r="J868" t="s">
        <v>15</v>
      </c>
      <c r="K868" t="s">
        <v>30</v>
      </c>
      <c r="L868" t="s">
        <v>17</v>
      </c>
    </row>
    <row r="869" spans="1:12" x14ac:dyDescent="0.35">
      <c r="A869">
        <v>868</v>
      </c>
      <c r="B869" t="s">
        <v>889</v>
      </c>
      <c r="C869">
        <v>55</v>
      </c>
      <c r="D869" t="s">
        <v>13</v>
      </c>
      <c r="E869" t="s">
        <v>20</v>
      </c>
      <c r="F869">
        <v>3695</v>
      </c>
      <c r="G869" s="1">
        <v>42529</v>
      </c>
      <c r="H869">
        <v>1</v>
      </c>
      <c r="I869">
        <v>6</v>
      </c>
      <c r="J869" t="s">
        <v>15</v>
      </c>
      <c r="K869" t="s">
        <v>30</v>
      </c>
      <c r="L869" t="s">
        <v>17</v>
      </c>
    </row>
    <row r="870" spans="1:12" x14ac:dyDescent="0.35">
      <c r="A870">
        <v>869</v>
      </c>
      <c r="B870" t="s">
        <v>890</v>
      </c>
      <c r="C870">
        <v>50</v>
      </c>
      <c r="D870" t="s">
        <v>19</v>
      </c>
      <c r="E870" t="s">
        <v>20</v>
      </c>
      <c r="F870">
        <v>4694</v>
      </c>
      <c r="G870" s="1">
        <v>44341</v>
      </c>
      <c r="H870">
        <v>5</v>
      </c>
      <c r="I870">
        <v>10</v>
      </c>
      <c r="J870" t="s">
        <v>21</v>
      </c>
      <c r="K870" t="s">
        <v>30</v>
      </c>
      <c r="L870" t="s">
        <v>23</v>
      </c>
    </row>
    <row r="871" spans="1:12" x14ac:dyDescent="0.35">
      <c r="A871">
        <v>870</v>
      </c>
      <c r="B871" t="s">
        <v>891</v>
      </c>
      <c r="C871">
        <v>26</v>
      </c>
      <c r="D871" t="s">
        <v>35</v>
      </c>
      <c r="E871" t="s">
        <v>20</v>
      </c>
      <c r="F871">
        <v>2387</v>
      </c>
      <c r="G871" s="1">
        <v>43605</v>
      </c>
      <c r="I871">
        <v>11</v>
      </c>
      <c r="J871" t="s">
        <v>21</v>
      </c>
      <c r="K871" t="s">
        <v>30</v>
      </c>
      <c r="L871" t="s">
        <v>25</v>
      </c>
    </row>
    <row r="872" spans="1:12" x14ac:dyDescent="0.35">
      <c r="A872">
        <v>871</v>
      </c>
      <c r="B872" t="s">
        <v>892</v>
      </c>
      <c r="C872">
        <v>41</v>
      </c>
      <c r="D872" t="s">
        <v>13</v>
      </c>
      <c r="E872" t="s">
        <v>14</v>
      </c>
      <c r="F872">
        <v>8495</v>
      </c>
      <c r="G872" s="1">
        <v>44810</v>
      </c>
      <c r="H872">
        <v>1</v>
      </c>
      <c r="I872">
        <v>19</v>
      </c>
      <c r="J872" t="s">
        <v>21</v>
      </c>
      <c r="K872" t="s">
        <v>22</v>
      </c>
      <c r="L872" t="s">
        <v>17</v>
      </c>
    </row>
    <row r="873" spans="1:12" x14ac:dyDescent="0.35">
      <c r="A873">
        <v>872</v>
      </c>
      <c r="B873" t="s">
        <v>893</v>
      </c>
      <c r="C873">
        <v>41</v>
      </c>
      <c r="D873" t="s">
        <v>35</v>
      </c>
      <c r="E873" t="s">
        <v>20</v>
      </c>
      <c r="F873">
        <v>7556</v>
      </c>
      <c r="G873" s="1">
        <v>44960</v>
      </c>
      <c r="H873">
        <v>0</v>
      </c>
      <c r="I873">
        <v>16</v>
      </c>
      <c r="J873" t="s">
        <v>15</v>
      </c>
      <c r="K873" t="s">
        <v>16</v>
      </c>
      <c r="L873" t="s">
        <v>23</v>
      </c>
    </row>
    <row r="874" spans="1:12" x14ac:dyDescent="0.35">
      <c r="A874">
        <v>873</v>
      </c>
      <c r="B874" t="s">
        <v>894</v>
      </c>
      <c r="C874">
        <v>52</v>
      </c>
      <c r="D874" t="s">
        <v>35</v>
      </c>
      <c r="E874" t="s">
        <v>20</v>
      </c>
      <c r="F874">
        <v>5282</v>
      </c>
      <c r="G874" s="1">
        <v>44856</v>
      </c>
      <c r="H874">
        <v>4</v>
      </c>
      <c r="I874">
        <v>5</v>
      </c>
      <c r="J874" t="s">
        <v>21</v>
      </c>
      <c r="K874" t="s">
        <v>22</v>
      </c>
      <c r="L874" t="s">
        <v>25</v>
      </c>
    </row>
    <row r="875" spans="1:12" x14ac:dyDescent="0.35">
      <c r="A875">
        <v>874</v>
      </c>
      <c r="B875" t="s">
        <v>648</v>
      </c>
      <c r="C875">
        <v>25</v>
      </c>
      <c r="D875" t="s">
        <v>13</v>
      </c>
      <c r="E875" t="s">
        <v>14</v>
      </c>
      <c r="F875">
        <v>7713</v>
      </c>
      <c r="G875" s="1">
        <v>42873</v>
      </c>
      <c r="I875">
        <v>20</v>
      </c>
      <c r="J875" t="s">
        <v>21</v>
      </c>
      <c r="K875" t="s">
        <v>30</v>
      </c>
      <c r="L875" t="s">
        <v>23</v>
      </c>
    </row>
    <row r="876" spans="1:12" x14ac:dyDescent="0.35">
      <c r="A876">
        <v>875</v>
      </c>
      <c r="B876" t="s">
        <v>895</v>
      </c>
      <c r="C876">
        <v>34</v>
      </c>
      <c r="D876" t="s">
        <v>19</v>
      </c>
      <c r="E876" t="s">
        <v>14</v>
      </c>
      <c r="F876">
        <v>6706</v>
      </c>
      <c r="G876" s="1">
        <v>43388</v>
      </c>
      <c r="I876">
        <v>13</v>
      </c>
      <c r="J876" t="s">
        <v>15</v>
      </c>
      <c r="K876" t="s">
        <v>22</v>
      </c>
      <c r="L876" t="s">
        <v>23</v>
      </c>
    </row>
    <row r="877" spans="1:12" x14ac:dyDescent="0.35">
      <c r="A877">
        <v>876</v>
      </c>
      <c r="B877" t="s">
        <v>896</v>
      </c>
      <c r="C877">
        <v>29</v>
      </c>
      <c r="D877" t="s">
        <v>13</v>
      </c>
      <c r="E877" t="s">
        <v>27</v>
      </c>
      <c r="F877">
        <v>3452</v>
      </c>
      <c r="G877" s="1">
        <v>44894</v>
      </c>
      <c r="I877">
        <v>19</v>
      </c>
      <c r="J877" t="s">
        <v>21</v>
      </c>
      <c r="K877" t="s">
        <v>30</v>
      </c>
      <c r="L877" t="s">
        <v>17</v>
      </c>
    </row>
    <row r="878" spans="1:12" x14ac:dyDescent="0.35">
      <c r="A878">
        <v>877</v>
      </c>
      <c r="B878" t="s">
        <v>897</v>
      </c>
      <c r="C878">
        <v>50</v>
      </c>
      <c r="D878" t="s">
        <v>19</v>
      </c>
      <c r="E878" t="s">
        <v>14</v>
      </c>
      <c r="F878">
        <v>8274</v>
      </c>
      <c r="G878" s="1">
        <v>45236</v>
      </c>
      <c r="I878">
        <v>3</v>
      </c>
      <c r="J878" t="s">
        <v>15</v>
      </c>
      <c r="K878" t="s">
        <v>16</v>
      </c>
      <c r="L878" t="s">
        <v>23</v>
      </c>
    </row>
    <row r="879" spans="1:12" x14ac:dyDescent="0.35">
      <c r="A879">
        <v>878</v>
      </c>
      <c r="B879" t="s">
        <v>898</v>
      </c>
      <c r="C879">
        <v>18</v>
      </c>
      <c r="D879" t="s">
        <v>19</v>
      </c>
      <c r="E879" t="s">
        <v>20</v>
      </c>
      <c r="F879">
        <v>5086</v>
      </c>
      <c r="G879" s="1">
        <v>44717</v>
      </c>
      <c r="I879">
        <v>4</v>
      </c>
      <c r="J879" t="s">
        <v>21</v>
      </c>
      <c r="K879" t="s">
        <v>30</v>
      </c>
      <c r="L879" t="s">
        <v>25</v>
      </c>
    </row>
    <row r="880" spans="1:12" x14ac:dyDescent="0.35">
      <c r="A880">
        <v>879</v>
      </c>
      <c r="B880" t="s">
        <v>899</v>
      </c>
      <c r="C880">
        <v>54</v>
      </c>
      <c r="D880" t="s">
        <v>19</v>
      </c>
      <c r="E880" t="s">
        <v>27</v>
      </c>
      <c r="F880">
        <v>2937</v>
      </c>
      <c r="G880" s="1">
        <v>43376</v>
      </c>
      <c r="I880">
        <v>13</v>
      </c>
      <c r="J880" t="s">
        <v>21</v>
      </c>
      <c r="K880" t="s">
        <v>22</v>
      </c>
      <c r="L880" t="s">
        <v>17</v>
      </c>
    </row>
    <row r="881" spans="1:12" x14ac:dyDescent="0.35">
      <c r="A881">
        <v>880</v>
      </c>
      <c r="B881" t="s">
        <v>900</v>
      </c>
      <c r="C881">
        <v>54</v>
      </c>
      <c r="D881" t="s">
        <v>35</v>
      </c>
      <c r="E881" t="s">
        <v>27</v>
      </c>
      <c r="F881">
        <v>6185</v>
      </c>
      <c r="G881" s="1">
        <v>42672</v>
      </c>
      <c r="H881">
        <v>0</v>
      </c>
      <c r="I881">
        <v>1</v>
      </c>
      <c r="J881" t="s">
        <v>15</v>
      </c>
      <c r="K881" t="s">
        <v>16</v>
      </c>
      <c r="L881" t="s">
        <v>23</v>
      </c>
    </row>
    <row r="882" spans="1:12" x14ac:dyDescent="0.35">
      <c r="A882">
        <v>881</v>
      </c>
      <c r="B882" t="s">
        <v>901</v>
      </c>
      <c r="C882">
        <v>53</v>
      </c>
      <c r="D882" t="s">
        <v>35</v>
      </c>
      <c r="E882" t="s">
        <v>14</v>
      </c>
      <c r="F882">
        <v>8758</v>
      </c>
      <c r="G882" s="1">
        <v>45121</v>
      </c>
      <c r="H882">
        <v>0</v>
      </c>
      <c r="I882">
        <v>5</v>
      </c>
      <c r="J882" t="s">
        <v>15</v>
      </c>
      <c r="K882" t="s">
        <v>30</v>
      </c>
      <c r="L882" t="s">
        <v>25</v>
      </c>
    </row>
    <row r="883" spans="1:12" x14ac:dyDescent="0.35">
      <c r="A883">
        <v>882</v>
      </c>
      <c r="B883" t="s">
        <v>902</v>
      </c>
      <c r="C883">
        <v>41</v>
      </c>
      <c r="D883" t="s">
        <v>35</v>
      </c>
      <c r="E883" t="s">
        <v>20</v>
      </c>
      <c r="F883">
        <v>7686</v>
      </c>
      <c r="G883" s="1">
        <v>42051</v>
      </c>
      <c r="I883">
        <v>13</v>
      </c>
      <c r="J883" t="s">
        <v>21</v>
      </c>
      <c r="K883" t="s">
        <v>22</v>
      </c>
      <c r="L883" t="s">
        <v>23</v>
      </c>
    </row>
    <row r="884" spans="1:12" x14ac:dyDescent="0.35">
      <c r="A884">
        <v>883</v>
      </c>
      <c r="B884" t="s">
        <v>903</v>
      </c>
      <c r="C884">
        <v>47</v>
      </c>
      <c r="D884" t="s">
        <v>35</v>
      </c>
      <c r="E884" t="s">
        <v>27</v>
      </c>
      <c r="F884">
        <v>2029</v>
      </c>
      <c r="G884" s="1">
        <v>43804</v>
      </c>
      <c r="H884">
        <v>0</v>
      </c>
      <c r="I884">
        <v>17</v>
      </c>
      <c r="J884" t="s">
        <v>15</v>
      </c>
      <c r="K884" t="s">
        <v>22</v>
      </c>
      <c r="L884" t="s">
        <v>25</v>
      </c>
    </row>
    <row r="885" spans="1:12" x14ac:dyDescent="0.35">
      <c r="A885">
        <v>884</v>
      </c>
      <c r="B885" t="s">
        <v>904</v>
      </c>
      <c r="C885">
        <v>51</v>
      </c>
      <c r="D885" t="s">
        <v>35</v>
      </c>
      <c r="E885" t="s">
        <v>14</v>
      </c>
      <c r="F885">
        <v>7315</v>
      </c>
      <c r="G885" s="1">
        <v>45567</v>
      </c>
      <c r="H885">
        <v>0</v>
      </c>
      <c r="I885">
        <v>8</v>
      </c>
      <c r="J885" t="s">
        <v>15</v>
      </c>
      <c r="K885" t="s">
        <v>30</v>
      </c>
      <c r="L885" t="s">
        <v>23</v>
      </c>
    </row>
    <row r="886" spans="1:12" x14ac:dyDescent="0.35">
      <c r="A886">
        <v>885</v>
      </c>
      <c r="B886" t="s">
        <v>905</v>
      </c>
      <c r="C886">
        <v>65</v>
      </c>
      <c r="D886" t="s">
        <v>35</v>
      </c>
      <c r="E886" t="s">
        <v>20</v>
      </c>
      <c r="F886">
        <v>8456</v>
      </c>
      <c r="G886" s="1">
        <v>42455</v>
      </c>
      <c r="H886">
        <v>3</v>
      </c>
      <c r="I886">
        <v>14</v>
      </c>
      <c r="J886" t="s">
        <v>15</v>
      </c>
      <c r="K886" t="s">
        <v>16</v>
      </c>
      <c r="L886" t="s">
        <v>23</v>
      </c>
    </row>
    <row r="887" spans="1:12" x14ac:dyDescent="0.35">
      <c r="A887">
        <v>886</v>
      </c>
      <c r="B887" t="s">
        <v>906</v>
      </c>
      <c r="C887">
        <v>21</v>
      </c>
      <c r="D887" t="s">
        <v>35</v>
      </c>
      <c r="E887" t="s">
        <v>14</v>
      </c>
      <c r="F887">
        <v>8766</v>
      </c>
      <c r="G887" s="1">
        <v>44003</v>
      </c>
      <c r="I887">
        <v>10</v>
      </c>
      <c r="J887" t="s">
        <v>21</v>
      </c>
      <c r="K887" t="s">
        <v>22</v>
      </c>
      <c r="L887" t="s">
        <v>17</v>
      </c>
    </row>
    <row r="888" spans="1:12" x14ac:dyDescent="0.35">
      <c r="A888">
        <v>887</v>
      </c>
      <c r="B888" t="s">
        <v>907</v>
      </c>
      <c r="C888">
        <v>43</v>
      </c>
      <c r="D888" t="s">
        <v>13</v>
      </c>
      <c r="E888" t="s">
        <v>27</v>
      </c>
      <c r="F888">
        <v>8772</v>
      </c>
      <c r="G888" s="1">
        <v>44482</v>
      </c>
      <c r="H888">
        <v>0</v>
      </c>
      <c r="I888">
        <v>6</v>
      </c>
      <c r="J888" t="s">
        <v>15</v>
      </c>
      <c r="K888" t="s">
        <v>16</v>
      </c>
      <c r="L888" t="s">
        <v>25</v>
      </c>
    </row>
    <row r="889" spans="1:12" x14ac:dyDescent="0.35">
      <c r="A889">
        <v>888</v>
      </c>
      <c r="B889" t="s">
        <v>908</v>
      </c>
      <c r="C889">
        <v>52</v>
      </c>
      <c r="D889" t="s">
        <v>13</v>
      </c>
      <c r="E889" t="s">
        <v>20</v>
      </c>
      <c r="F889">
        <v>7588</v>
      </c>
      <c r="G889" s="1">
        <v>42881</v>
      </c>
      <c r="H889">
        <v>1</v>
      </c>
      <c r="I889">
        <v>9</v>
      </c>
      <c r="J889" t="s">
        <v>21</v>
      </c>
      <c r="K889" t="s">
        <v>30</v>
      </c>
      <c r="L889" t="s">
        <v>17</v>
      </c>
    </row>
    <row r="890" spans="1:12" x14ac:dyDescent="0.35">
      <c r="A890">
        <v>889</v>
      </c>
      <c r="B890" t="s">
        <v>909</v>
      </c>
      <c r="C890">
        <v>32</v>
      </c>
      <c r="D890" t="s">
        <v>19</v>
      </c>
      <c r="E890" t="s">
        <v>27</v>
      </c>
      <c r="F890">
        <v>9511</v>
      </c>
      <c r="G890" s="1">
        <v>44704</v>
      </c>
      <c r="I890">
        <v>3</v>
      </c>
      <c r="J890" t="s">
        <v>21</v>
      </c>
      <c r="K890" t="s">
        <v>22</v>
      </c>
      <c r="L890" t="s">
        <v>23</v>
      </c>
    </row>
    <row r="891" spans="1:12" x14ac:dyDescent="0.35">
      <c r="A891">
        <v>890</v>
      </c>
      <c r="B891" t="s">
        <v>910</v>
      </c>
      <c r="C891">
        <v>48</v>
      </c>
      <c r="D891" t="s">
        <v>13</v>
      </c>
      <c r="E891" t="s">
        <v>27</v>
      </c>
      <c r="F891">
        <v>6114</v>
      </c>
      <c r="G891" s="1">
        <v>44412</v>
      </c>
      <c r="H891">
        <v>1</v>
      </c>
      <c r="I891">
        <v>1</v>
      </c>
      <c r="J891" t="s">
        <v>15</v>
      </c>
      <c r="K891" t="s">
        <v>30</v>
      </c>
      <c r="L891" t="s">
        <v>17</v>
      </c>
    </row>
    <row r="892" spans="1:12" x14ac:dyDescent="0.35">
      <c r="A892">
        <v>891</v>
      </c>
      <c r="B892" t="s">
        <v>911</v>
      </c>
      <c r="C892">
        <v>37</v>
      </c>
      <c r="D892" t="s">
        <v>13</v>
      </c>
      <c r="E892" t="s">
        <v>27</v>
      </c>
      <c r="F892">
        <v>7496</v>
      </c>
      <c r="G892" s="1">
        <v>43879</v>
      </c>
      <c r="H892">
        <v>5</v>
      </c>
      <c r="I892">
        <v>7</v>
      </c>
      <c r="J892" t="s">
        <v>21</v>
      </c>
      <c r="K892" t="s">
        <v>30</v>
      </c>
      <c r="L892" t="s">
        <v>23</v>
      </c>
    </row>
    <row r="893" spans="1:12" x14ac:dyDescent="0.35">
      <c r="A893">
        <v>892</v>
      </c>
      <c r="B893" t="s">
        <v>912</v>
      </c>
      <c r="C893">
        <v>60</v>
      </c>
      <c r="D893" t="s">
        <v>35</v>
      </c>
      <c r="E893" t="s">
        <v>20</v>
      </c>
      <c r="F893">
        <v>8117</v>
      </c>
      <c r="G893" s="1">
        <v>43934</v>
      </c>
      <c r="H893">
        <v>1</v>
      </c>
      <c r="I893">
        <v>7</v>
      </c>
      <c r="J893" t="s">
        <v>21</v>
      </c>
      <c r="K893" t="s">
        <v>16</v>
      </c>
      <c r="L893" t="s">
        <v>25</v>
      </c>
    </row>
    <row r="894" spans="1:12" x14ac:dyDescent="0.35">
      <c r="A894">
        <v>893</v>
      </c>
      <c r="B894" t="s">
        <v>913</v>
      </c>
      <c r="C894">
        <v>31</v>
      </c>
      <c r="D894" t="s">
        <v>35</v>
      </c>
      <c r="E894" t="s">
        <v>14</v>
      </c>
      <c r="F894">
        <v>4345</v>
      </c>
      <c r="G894" s="1">
        <v>45415</v>
      </c>
      <c r="H894">
        <v>5</v>
      </c>
      <c r="I894">
        <v>12</v>
      </c>
      <c r="J894" t="s">
        <v>15</v>
      </c>
      <c r="K894" t="s">
        <v>22</v>
      </c>
      <c r="L894" t="s">
        <v>17</v>
      </c>
    </row>
    <row r="895" spans="1:12" x14ac:dyDescent="0.35">
      <c r="A895">
        <v>894</v>
      </c>
      <c r="B895" t="s">
        <v>914</v>
      </c>
      <c r="C895">
        <v>34</v>
      </c>
      <c r="D895" t="s">
        <v>19</v>
      </c>
      <c r="E895" t="s">
        <v>20</v>
      </c>
      <c r="F895">
        <v>7651</v>
      </c>
      <c r="G895" s="1">
        <v>43492</v>
      </c>
      <c r="H895">
        <v>3</v>
      </c>
      <c r="I895">
        <v>2</v>
      </c>
      <c r="J895" t="s">
        <v>21</v>
      </c>
      <c r="K895" t="s">
        <v>30</v>
      </c>
      <c r="L895" t="s">
        <v>17</v>
      </c>
    </row>
    <row r="896" spans="1:12" x14ac:dyDescent="0.35">
      <c r="A896">
        <v>895</v>
      </c>
      <c r="B896" t="s">
        <v>915</v>
      </c>
      <c r="C896">
        <v>19</v>
      </c>
      <c r="D896" t="s">
        <v>35</v>
      </c>
      <c r="E896" t="s">
        <v>27</v>
      </c>
      <c r="F896">
        <v>8059</v>
      </c>
      <c r="G896" s="1">
        <v>42940</v>
      </c>
      <c r="H896">
        <v>4</v>
      </c>
      <c r="I896">
        <v>3</v>
      </c>
      <c r="J896" t="s">
        <v>15</v>
      </c>
      <c r="K896" t="s">
        <v>22</v>
      </c>
      <c r="L896" t="s">
        <v>17</v>
      </c>
    </row>
    <row r="897" spans="1:12" x14ac:dyDescent="0.35">
      <c r="A897">
        <v>896</v>
      </c>
      <c r="B897" t="s">
        <v>916</v>
      </c>
      <c r="C897">
        <v>56</v>
      </c>
      <c r="D897" t="s">
        <v>13</v>
      </c>
      <c r="E897" t="s">
        <v>14</v>
      </c>
      <c r="F897">
        <v>3168</v>
      </c>
      <c r="G897" s="1">
        <v>42462</v>
      </c>
      <c r="H897">
        <v>1</v>
      </c>
      <c r="I897">
        <v>6</v>
      </c>
      <c r="J897" t="s">
        <v>15</v>
      </c>
      <c r="K897" t="s">
        <v>16</v>
      </c>
      <c r="L897" t="s">
        <v>25</v>
      </c>
    </row>
    <row r="898" spans="1:12" x14ac:dyDescent="0.35">
      <c r="A898">
        <v>897</v>
      </c>
      <c r="B898" t="s">
        <v>917</v>
      </c>
      <c r="C898">
        <v>36</v>
      </c>
      <c r="D898" t="s">
        <v>35</v>
      </c>
      <c r="E898" t="s">
        <v>14</v>
      </c>
      <c r="F898">
        <v>6289</v>
      </c>
      <c r="G898" s="1">
        <v>42456</v>
      </c>
      <c r="H898">
        <v>1</v>
      </c>
      <c r="I898">
        <v>12</v>
      </c>
      <c r="J898" t="s">
        <v>21</v>
      </c>
      <c r="K898" t="s">
        <v>30</v>
      </c>
      <c r="L898" t="s">
        <v>23</v>
      </c>
    </row>
    <row r="899" spans="1:12" x14ac:dyDescent="0.35">
      <c r="A899">
        <v>898</v>
      </c>
      <c r="B899" t="s">
        <v>918</v>
      </c>
      <c r="C899">
        <v>56</v>
      </c>
      <c r="D899" t="s">
        <v>13</v>
      </c>
      <c r="E899" t="s">
        <v>20</v>
      </c>
      <c r="F899">
        <v>4269</v>
      </c>
      <c r="G899" s="1">
        <v>43997</v>
      </c>
      <c r="H899">
        <v>0</v>
      </c>
      <c r="I899">
        <v>13</v>
      </c>
      <c r="J899" t="s">
        <v>15</v>
      </c>
      <c r="K899" t="s">
        <v>22</v>
      </c>
      <c r="L899" t="s">
        <v>25</v>
      </c>
    </row>
    <row r="900" spans="1:12" x14ac:dyDescent="0.35">
      <c r="A900">
        <v>899</v>
      </c>
      <c r="B900" t="s">
        <v>919</v>
      </c>
      <c r="C900">
        <v>44</v>
      </c>
      <c r="D900" t="s">
        <v>35</v>
      </c>
      <c r="E900" t="s">
        <v>20</v>
      </c>
      <c r="F900">
        <v>9819</v>
      </c>
      <c r="G900" s="1">
        <v>44757</v>
      </c>
      <c r="H900">
        <v>0</v>
      </c>
      <c r="I900">
        <v>13</v>
      </c>
      <c r="J900" t="s">
        <v>15</v>
      </c>
      <c r="K900" t="s">
        <v>16</v>
      </c>
      <c r="L900" t="s">
        <v>25</v>
      </c>
    </row>
    <row r="901" spans="1:12" x14ac:dyDescent="0.35">
      <c r="A901">
        <v>900</v>
      </c>
      <c r="B901" t="s">
        <v>920</v>
      </c>
      <c r="C901">
        <v>52</v>
      </c>
      <c r="D901" t="s">
        <v>19</v>
      </c>
      <c r="E901" t="s">
        <v>27</v>
      </c>
      <c r="F901">
        <v>7473</v>
      </c>
      <c r="G901" s="1">
        <v>45040</v>
      </c>
      <c r="H901">
        <v>2</v>
      </c>
      <c r="I901">
        <v>10</v>
      </c>
      <c r="J901" t="s">
        <v>15</v>
      </c>
      <c r="K901" t="s">
        <v>30</v>
      </c>
      <c r="L901" t="s">
        <v>25</v>
      </c>
    </row>
    <row r="902" spans="1:12" x14ac:dyDescent="0.35">
      <c r="A902">
        <v>901</v>
      </c>
      <c r="B902" t="s">
        <v>921</v>
      </c>
      <c r="C902">
        <v>29</v>
      </c>
      <c r="D902" t="s">
        <v>35</v>
      </c>
      <c r="E902" t="s">
        <v>14</v>
      </c>
      <c r="F902">
        <v>7568</v>
      </c>
      <c r="G902" s="1">
        <v>45304</v>
      </c>
      <c r="H902">
        <v>5</v>
      </c>
      <c r="I902">
        <v>17</v>
      </c>
      <c r="J902" t="s">
        <v>15</v>
      </c>
      <c r="K902" t="s">
        <v>22</v>
      </c>
      <c r="L902" t="s">
        <v>23</v>
      </c>
    </row>
    <row r="903" spans="1:12" x14ac:dyDescent="0.35">
      <c r="A903">
        <v>902</v>
      </c>
      <c r="B903" t="s">
        <v>922</v>
      </c>
      <c r="C903">
        <v>50</v>
      </c>
      <c r="D903" t="s">
        <v>19</v>
      </c>
      <c r="E903" t="s">
        <v>14</v>
      </c>
      <c r="F903">
        <v>3312</v>
      </c>
      <c r="G903" s="1">
        <v>45085</v>
      </c>
      <c r="I903">
        <v>4</v>
      </c>
      <c r="J903" t="s">
        <v>21</v>
      </c>
      <c r="K903" t="s">
        <v>22</v>
      </c>
      <c r="L903" t="s">
        <v>23</v>
      </c>
    </row>
    <row r="904" spans="1:12" x14ac:dyDescent="0.35">
      <c r="A904">
        <v>903</v>
      </c>
      <c r="B904" t="s">
        <v>923</v>
      </c>
      <c r="C904">
        <v>39</v>
      </c>
      <c r="D904" t="s">
        <v>13</v>
      </c>
      <c r="E904" t="s">
        <v>14</v>
      </c>
      <c r="F904">
        <v>6644</v>
      </c>
      <c r="G904" s="1">
        <v>43103</v>
      </c>
      <c r="H904">
        <v>0</v>
      </c>
      <c r="I904">
        <v>7</v>
      </c>
      <c r="J904" t="s">
        <v>15</v>
      </c>
      <c r="K904" t="s">
        <v>30</v>
      </c>
      <c r="L904" t="s">
        <v>23</v>
      </c>
    </row>
    <row r="905" spans="1:12" x14ac:dyDescent="0.35">
      <c r="A905">
        <v>904</v>
      </c>
      <c r="B905" t="s">
        <v>924</v>
      </c>
      <c r="C905">
        <v>42</v>
      </c>
      <c r="D905" t="s">
        <v>19</v>
      </c>
      <c r="E905" t="s">
        <v>20</v>
      </c>
      <c r="F905">
        <v>9658</v>
      </c>
      <c r="G905" s="1">
        <v>43769</v>
      </c>
      <c r="H905">
        <v>1</v>
      </c>
      <c r="I905">
        <v>14</v>
      </c>
      <c r="J905" t="s">
        <v>21</v>
      </c>
      <c r="K905" t="s">
        <v>16</v>
      </c>
      <c r="L905" t="s">
        <v>23</v>
      </c>
    </row>
    <row r="906" spans="1:12" x14ac:dyDescent="0.35">
      <c r="A906">
        <v>905</v>
      </c>
      <c r="B906" t="s">
        <v>925</v>
      </c>
      <c r="C906">
        <v>22</v>
      </c>
      <c r="D906" t="s">
        <v>19</v>
      </c>
      <c r="E906" t="s">
        <v>14</v>
      </c>
      <c r="F906">
        <v>7388</v>
      </c>
      <c r="G906" s="1">
        <v>42620</v>
      </c>
      <c r="H906">
        <v>4</v>
      </c>
      <c r="I906">
        <v>13</v>
      </c>
      <c r="J906" t="s">
        <v>21</v>
      </c>
      <c r="K906" t="s">
        <v>30</v>
      </c>
      <c r="L906" t="s">
        <v>25</v>
      </c>
    </row>
    <row r="907" spans="1:12" x14ac:dyDescent="0.35">
      <c r="A907">
        <v>906</v>
      </c>
      <c r="B907" t="s">
        <v>926</v>
      </c>
      <c r="C907">
        <v>36</v>
      </c>
      <c r="D907" t="s">
        <v>19</v>
      </c>
      <c r="E907" t="s">
        <v>20</v>
      </c>
      <c r="F907">
        <v>2371</v>
      </c>
      <c r="G907" s="1">
        <v>45001</v>
      </c>
      <c r="I907">
        <v>5</v>
      </c>
      <c r="J907" t="s">
        <v>15</v>
      </c>
      <c r="K907" t="s">
        <v>22</v>
      </c>
      <c r="L907" t="s">
        <v>23</v>
      </c>
    </row>
    <row r="908" spans="1:12" x14ac:dyDescent="0.35">
      <c r="A908">
        <v>907</v>
      </c>
      <c r="B908" t="s">
        <v>927</v>
      </c>
      <c r="C908">
        <v>42</v>
      </c>
      <c r="D908" t="s">
        <v>13</v>
      </c>
      <c r="E908" t="s">
        <v>20</v>
      </c>
      <c r="F908">
        <v>2015</v>
      </c>
      <c r="G908" s="1">
        <v>43959</v>
      </c>
      <c r="H908">
        <v>1</v>
      </c>
      <c r="I908">
        <v>14</v>
      </c>
      <c r="J908" t="s">
        <v>21</v>
      </c>
      <c r="K908" t="s">
        <v>30</v>
      </c>
      <c r="L908" t="s">
        <v>23</v>
      </c>
    </row>
    <row r="909" spans="1:12" x14ac:dyDescent="0.35">
      <c r="A909">
        <v>908</v>
      </c>
      <c r="B909" t="s">
        <v>562</v>
      </c>
      <c r="C909">
        <v>59</v>
      </c>
      <c r="D909" t="s">
        <v>13</v>
      </c>
      <c r="E909" t="s">
        <v>20</v>
      </c>
      <c r="F909">
        <v>5628</v>
      </c>
      <c r="G909" s="1">
        <v>42651</v>
      </c>
      <c r="I909">
        <v>4</v>
      </c>
      <c r="J909" t="s">
        <v>21</v>
      </c>
      <c r="K909" t="s">
        <v>30</v>
      </c>
      <c r="L909" t="s">
        <v>23</v>
      </c>
    </row>
    <row r="910" spans="1:12" x14ac:dyDescent="0.35">
      <c r="A910">
        <v>909</v>
      </c>
      <c r="B910" t="s">
        <v>928</v>
      </c>
      <c r="C910">
        <v>34</v>
      </c>
      <c r="D910" t="s">
        <v>19</v>
      </c>
      <c r="E910" t="s">
        <v>14</v>
      </c>
      <c r="F910">
        <v>9951</v>
      </c>
      <c r="G910" s="1">
        <v>45340</v>
      </c>
      <c r="I910">
        <v>6</v>
      </c>
      <c r="J910" t="s">
        <v>21</v>
      </c>
      <c r="K910" t="s">
        <v>16</v>
      </c>
      <c r="L910" t="s">
        <v>17</v>
      </c>
    </row>
    <row r="911" spans="1:12" x14ac:dyDescent="0.35">
      <c r="A911">
        <v>910</v>
      </c>
      <c r="B911" t="s">
        <v>929</v>
      </c>
      <c r="C911">
        <v>38</v>
      </c>
      <c r="D911" t="s">
        <v>19</v>
      </c>
      <c r="E911" t="s">
        <v>27</v>
      </c>
      <c r="F911">
        <v>5134</v>
      </c>
      <c r="G911" s="1">
        <v>44899</v>
      </c>
      <c r="H911">
        <v>5</v>
      </c>
      <c r="I911">
        <v>14</v>
      </c>
      <c r="J911" t="s">
        <v>15</v>
      </c>
      <c r="K911" t="s">
        <v>30</v>
      </c>
      <c r="L911" t="s">
        <v>17</v>
      </c>
    </row>
    <row r="912" spans="1:12" x14ac:dyDescent="0.35">
      <c r="A912">
        <v>911</v>
      </c>
      <c r="B912" t="s">
        <v>930</v>
      </c>
      <c r="C912">
        <v>49</v>
      </c>
      <c r="D912" t="s">
        <v>13</v>
      </c>
      <c r="E912" t="s">
        <v>27</v>
      </c>
      <c r="F912">
        <v>6502</v>
      </c>
      <c r="G912" s="1">
        <v>44709</v>
      </c>
      <c r="H912">
        <v>3</v>
      </c>
      <c r="I912">
        <v>1</v>
      </c>
      <c r="J912" t="s">
        <v>15</v>
      </c>
      <c r="K912" t="s">
        <v>22</v>
      </c>
      <c r="L912" t="s">
        <v>23</v>
      </c>
    </row>
    <row r="913" spans="1:12" x14ac:dyDescent="0.35">
      <c r="A913">
        <v>912</v>
      </c>
      <c r="B913" t="s">
        <v>931</v>
      </c>
      <c r="C913">
        <v>29</v>
      </c>
      <c r="D913" t="s">
        <v>13</v>
      </c>
      <c r="E913" t="s">
        <v>20</v>
      </c>
      <c r="F913">
        <v>4999</v>
      </c>
      <c r="G913" s="1">
        <v>44252</v>
      </c>
      <c r="I913">
        <v>16</v>
      </c>
      <c r="J913" t="s">
        <v>21</v>
      </c>
      <c r="K913" t="s">
        <v>22</v>
      </c>
      <c r="L913" t="s">
        <v>25</v>
      </c>
    </row>
    <row r="914" spans="1:12" x14ac:dyDescent="0.35">
      <c r="A914">
        <v>913</v>
      </c>
      <c r="B914" t="s">
        <v>932</v>
      </c>
      <c r="C914">
        <v>59</v>
      </c>
      <c r="D914" t="s">
        <v>13</v>
      </c>
      <c r="E914" t="s">
        <v>20</v>
      </c>
      <c r="F914">
        <v>4875</v>
      </c>
      <c r="G914" s="1">
        <v>42022</v>
      </c>
      <c r="H914">
        <v>0</v>
      </c>
      <c r="I914">
        <v>6</v>
      </c>
      <c r="J914" t="s">
        <v>15</v>
      </c>
      <c r="K914" t="s">
        <v>22</v>
      </c>
      <c r="L914" t="s">
        <v>23</v>
      </c>
    </row>
    <row r="915" spans="1:12" x14ac:dyDescent="0.35">
      <c r="A915">
        <v>914</v>
      </c>
      <c r="B915" t="s">
        <v>933</v>
      </c>
      <c r="C915">
        <v>56</v>
      </c>
      <c r="D915" t="s">
        <v>19</v>
      </c>
      <c r="E915" t="s">
        <v>27</v>
      </c>
      <c r="F915">
        <v>5322</v>
      </c>
      <c r="G915" s="1">
        <v>44844</v>
      </c>
      <c r="I915">
        <v>6</v>
      </c>
      <c r="J915" t="s">
        <v>15</v>
      </c>
      <c r="K915" t="s">
        <v>22</v>
      </c>
      <c r="L915" t="s">
        <v>23</v>
      </c>
    </row>
    <row r="916" spans="1:12" x14ac:dyDescent="0.35">
      <c r="A916">
        <v>915</v>
      </c>
      <c r="B916" t="s">
        <v>934</v>
      </c>
      <c r="C916">
        <v>31</v>
      </c>
      <c r="D916" t="s">
        <v>13</v>
      </c>
      <c r="E916" t="s">
        <v>14</v>
      </c>
      <c r="F916">
        <v>3340</v>
      </c>
      <c r="G916" s="1">
        <v>42723</v>
      </c>
      <c r="I916">
        <v>4</v>
      </c>
      <c r="J916" t="s">
        <v>21</v>
      </c>
      <c r="K916" t="s">
        <v>22</v>
      </c>
      <c r="L916" t="s">
        <v>25</v>
      </c>
    </row>
    <row r="917" spans="1:12" x14ac:dyDescent="0.35">
      <c r="A917">
        <v>916</v>
      </c>
      <c r="B917" t="s">
        <v>935</v>
      </c>
      <c r="C917">
        <v>21</v>
      </c>
      <c r="D917" t="s">
        <v>13</v>
      </c>
      <c r="E917" t="s">
        <v>14</v>
      </c>
      <c r="F917">
        <v>6900</v>
      </c>
      <c r="G917" s="1">
        <v>42634</v>
      </c>
      <c r="H917">
        <v>0</v>
      </c>
      <c r="I917">
        <v>10</v>
      </c>
      <c r="J917" t="s">
        <v>15</v>
      </c>
      <c r="K917" t="s">
        <v>30</v>
      </c>
      <c r="L917" t="s">
        <v>25</v>
      </c>
    </row>
    <row r="918" spans="1:12" x14ac:dyDescent="0.35">
      <c r="A918">
        <v>917</v>
      </c>
      <c r="B918" t="s">
        <v>936</v>
      </c>
      <c r="C918">
        <v>50</v>
      </c>
      <c r="D918" t="s">
        <v>35</v>
      </c>
      <c r="E918" t="s">
        <v>27</v>
      </c>
      <c r="F918">
        <v>6907</v>
      </c>
      <c r="G918" s="1">
        <v>45300</v>
      </c>
      <c r="H918">
        <v>1</v>
      </c>
      <c r="I918">
        <v>4</v>
      </c>
      <c r="J918" t="s">
        <v>15</v>
      </c>
      <c r="K918" t="s">
        <v>22</v>
      </c>
      <c r="L918" t="s">
        <v>17</v>
      </c>
    </row>
    <row r="919" spans="1:12" x14ac:dyDescent="0.35">
      <c r="A919">
        <v>918</v>
      </c>
      <c r="B919" t="s">
        <v>937</v>
      </c>
      <c r="C919">
        <v>45</v>
      </c>
      <c r="D919" t="s">
        <v>13</v>
      </c>
      <c r="E919" t="s">
        <v>14</v>
      </c>
      <c r="F919">
        <v>6585</v>
      </c>
      <c r="G919" s="1">
        <v>42418</v>
      </c>
      <c r="I919">
        <v>9</v>
      </c>
      <c r="J919" t="s">
        <v>21</v>
      </c>
      <c r="K919" t="s">
        <v>22</v>
      </c>
      <c r="L919" t="s">
        <v>23</v>
      </c>
    </row>
    <row r="920" spans="1:12" x14ac:dyDescent="0.35">
      <c r="A920">
        <v>919</v>
      </c>
      <c r="B920" t="s">
        <v>938</v>
      </c>
      <c r="C920">
        <v>22</v>
      </c>
      <c r="D920" t="s">
        <v>19</v>
      </c>
      <c r="E920" t="s">
        <v>27</v>
      </c>
      <c r="F920">
        <v>3625</v>
      </c>
      <c r="G920" s="1">
        <v>42667</v>
      </c>
      <c r="H920">
        <v>4</v>
      </c>
      <c r="I920">
        <v>14</v>
      </c>
      <c r="J920" t="s">
        <v>15</v>
      </c>
      <c r="K920" t="s">
        <v>30</v>
      </c>
      <c r="L920" t="s">
        <v>25</v>
      </c>
    </row>
    <row r="921" spans="1:12" x14ac:dyDescent="0.35">
      <c r="A921">
        <v>920</v>
      </c>
      <c r="B921" t="s">
        <v>939</v>
      </c>
      <c r="C921">
        <v>56</v>
      </c>
      <c r="D921" t="s">
        <v>19</v>
      </c>
      <c r="E921" t="s">
        <v>14</v>
      </c>
      <c r="F921">
        <v>9761</v>
      </c>
      <c r="G921" s="1">
        <v>43965</v>
      </c>
      <c r="I921">
        <v>6</v>
      </c>
      <c r="J921" t="s">
        <v>21</v>
      </c>
      <c r="K921" t="s">
        <v>22</v>
      </c>
      <c r="L921" t="s">
        <v>23</v>
      </c>
    </row>
    <row r="922" spans="1:12" x14ac:dyDescent="0.35">
      <c r="A922">
        <v>921</v>
      </c>
      <c r="B922" t="s">
        <v>940</v>
      </c>
      <c r="C922">
        <v>29</v>
      </c>
      <c r="D922" t="s">
        <v>35</v>
      </c>
      <c r="E922" t="s">
        <v>14</v>
      </c>
      <c r="F922">
        <v>4077</v>
      </c>
      <c r="G922" s="1">
        <v>42302</v>
      </c>
      <c r="H922">
        <v>1</v>
      </c>
      <c r="I922">
        <v>3</v>
      </c>
      <c r="J922" t="s">
        <v>21</v>
      </c>
      <c r="K922" t="s">
        <v>30</v>
      </c>
      <c r="L922" t="s">
        <v>23</v>
      </c>
    </row>
    <row r="923" spans="1:12" x14ac:dyDescent="0.35">
      <c r="A923">
        <v>922</v>
      </c>
      <c r="B923" t="s">
        <v>941</v>
      </c>
      <c r="C923">
        <v>52</v>
      </c>
      <c r="D923" t="s">
        <v>19</v>
      </c>
      <c r="E923" t="s">
        <v>27</v>
      </c>
      <c r="F923">
        <v>5090</v>
      </c>
      <c r="G923" s="1">
        <v>42364</v>
      </c>
      <c r="I923">
        <v>9</v>
      </c>
      <c r="J923" t="s">
        <v>15</v>
      </c>
      <c r="K923" t="s">
        <v>22</v>
      </c>
      <c r="L923" t="s">
        <v>23</v>
      </c>
    </row>
    <row r="924" spans="1:12" x14ac:dyDescent="0.35">
      <c r="A924">
        <v>923</v>
      </c>
      <c r="B924" t="s">
        <v>942</v>
      </c>
      <c r="C924">
        <v>39</v>
      </c>
      <c r="D924" t="s">
        <v>35</v>
      </c>
      <c r="E924" t="s">
        <v>14</v>
      </c>
      <c r="F924">
        <v>9553</v>
      </c>
      <c r="G924" s="1">
        <v>43250</v>
      </c>
      <c r="H924">
        <v>0</v>
      </c>
      <c r="I924">
        <v>15</v>
      </c>
      <c r="J924" t="s">
        <v>15</v>
      </c>
      <c r="K924" t="s">
        <v>22</v>
      </c>
      <c r="L924" t="s">
        <v>25</v>
      </c>
    </row>
    <row r="925" spans="1:12" x14ac:dyDescent="0.35">
      <c r="A925">
        <v>924</v>
      </c>
      <c r="B925" t="s">
        <v>943</v>
      </c>
      <c r="C925">
        <v>34</v>
      </c>
      <c r="D925" t="s">
        <v>19</v>
      </c>
      <c r="E925" t="s">
        <v>20</v>
      </c>
      <c r="F925">
        <v>6162</v>
      </c>
      <c r="G925" s="1">
        <v>43220</v>
      </c>
      <c r="H925">
        <v>3</v>
      </c>
      <c r="I925">
        <v>10</v>
      </c>
      <c r="J925" t="s">
        <v>21</v>
      </c>
      <c r="K925" t="s">
        <v>30</v>
      </c>
      <c r="L925" t="s">
        <v>17</v>
      </c>
    </row>
    <row r="926" spans="1:12" x14ac:dyDescent="0.35">
      <c r="A926">
        <v>925</v>
      </c>
      <c r="B926" t="s">
        <v>944</v>
      </c>
      <c r="C926">
        <v>38</v>
      </c>
      <c r="D926" t="s">
        <v>35</v>
      </c>
      <c r="E926" t="s">
        <v>20</v>
      </c>
      <c r="F926">
        <v>6578</v>
      </c>
      <c r="G926" s="1">
        <v>45182</v>
      </c>
      <c r="H926">
        <v>0</v>
      </c>
      <c r="I926">
        <v>1</v>
      </c>
      <c r="J926" t="s">
        <v>15</v>
      </c>
      <c r="K926" t="s">
        <v>30</v>
      </c>
      <c r="L926" t="s">
        <v>25</v>
      </c>
    </row>
    <row r="927" spans="1:12" x14ac:dyDescent="0.35">
      <c r="A927">
        <v>926</v>
      </c>
      <c r="B927" t="s">
        <v>945</v>
      </c>
      <c r="C927">
        <v>48</v>
      </c>
      <c r="D927" t="s">
        <v>35</v>
      </c>
      <c r="E927" t="s">
        <v>14</v>
      </c>
      <c r="F927">
        <v>7192</v>
      </c>
      <c r="G927" s="1">
        <v>42709</v>
      </c>
      <c r="I927">
        <v>4</v>
      </c>
      <c r="J927" t="s">
        <v>21</v>
      </c>
      <c r="K927" t="s">
        <v>30</v>
      </c>
      <c r="L927" t="s">
        <v>17</v>
      </c>
    </row>
    <row r="928" spans="1:12" x14ac:dyDescent="0.35">
      <c r="A928">
        <v>927</v>
      </c>
      <c r="B928" t="s">
        <v>946</v>
      </c>
      <c r="C928">
        <v>55</v>
      </c>
      <c r="D928" t="s">
        <v>13</v>
      </c>
      <c r="E928" t="s">
        <v>14</v>
      </c>
      <c r="F928">
        <v>6341</v>
      </c>
      <c r="G928" s="1">
        <v>45138</v>
      </c>
      <c r="I928">
        <v>13</v>
      </c>
      <c r="J928" t="s">
        <v>21</v>
      </c>
      <c r="K928" t="s">
        <v>16</v>
      </c>
      <c r="L928" t="s">
        <v>25</v>
      </c>
    </row>
    <row r="929" spans="1:12" x14ac:dyDescent="0.35">
      <c r="A929">
        <v>928</v>
      </c>
      <c r="B929" t="s">
        <v>947</v>
      </c>
      <c r="C929">
        <v>23</v>
      </c>
      <c r="D929" t="s">
        <v>35</v>
      </c>
      <c r="E929" t="s">
        <v>27</v>
      </c>
      <c r="F929">
        <v>3405</v>
      </c>
      <c r="G929" s="1">
        <v>42380</v>
      </c>
      <c r="I929">
        <v>20</v>
      </c>
      <c r="J929" t="s">
        <v>21</v>
      </c>
      <c r="K929" t="s">
        <v>30</v>
      </c>
      <c r="L929" t="s">
        <v>17</v>
      </c>
    </row>
    <row r="930" spans="1:12" x14ac:dyDescent="0.35">
      <c r="A930">
        <v>929</v>
      </c>
      <c r="B930" t="s">
        <v>948</v>
      </c>
      <c r="C930">
        <v>62</v>
      </c>
      <c r="D930" t="s">
        <v>13</v>
      </c>
      <c r="E930" t="s">
        <v>27</v>
      </c>
      <c r="F930">
        <v>4876</v>
      </c>
      <c r="G930" s="1">
        <v>43810</v>
      </c>
      <c r="H930">
        <v>0</v>
      </c>
      <c r="I930">
        <v>18</v>
      </c>
      <c r="J930" t="s">
        <v>15</v>
      </c>
      <c r="K930" t="s">
        <v>30</v>
      </c>
      <c r="L930" t="s">
        <v>17</v>
      </c>
    </row>
    <row r="931" spans="1:12" x14ac:dyDescent="0.35">
      <c r="A931">
        <v>930</v>
      </c>
      <c r="B931" t="s">
        <v>949</v>
      </c>
      <c r="C931">
        <v>45</v>
      </c>
      <c r="D931" t="s">
        <v>19</v>
      </c>
      <c r="E931" t="s">
        <v>14</v>
      </c>
      <c r="F931">
        <v>5730</v>
      </c>
      <c r="G931" s="1">
        <v>42379</v>
      </c>
      <c r="I931">
        <v>19</v>
      </c>
      <c r="J931" t="s">
        <v>21</v>
      </c>
      <c r="K931" t="s">
        <v>22</v>
      </c>
      <c r="L931" t="s">
        <v>17</v>
      </c>
    </row>
    <row r="932" spans="1:12" x14ac:dyDescent="0.35">
      <c r="A932">
        <v>931</v>
      </c>
      <c r="B932" t="s">
        <v>950</v>
      </c>
      <c r="C932">
        <v>22</v>
      </c>
      <c r="D932" t="s">
        <v>19</v>
      </c>
      <c r="E932" t="s">
        <v>14</v>
      </c>
      <c r="F932">
        <v>3681</v>
      </c>
      <c r="G932" s="1">
        <v>43944</v>
      </c>
      <c r="H932">
        <v>3</v>
      </c>
      <c r="I932">
        <v>16</v>
      </c>
      <c r="J932" t="s">
        <v>15</v>
      </c>
      <c r="K932" t="s">
        <v>16</v>
      </c>
      <c r="L932" t="s">
        <v>17</v>
      </c>
    </row>
    <row r="933" spans="1:12" x14ac:dyDescent="0.35">
      <c r="A933">
        <v>932</v>
      </c>
      <c r="B933" t="s">
        <v>951</v>
      </c>
      <c r="C933">
        <v>20</v>
      </c>
      <c r="D933" t="s">
        <v>35</v>
      </c>
      <c r="E933" t="s">
        <v>20</v>
      </c>
      <c r="F933">
        <v>2850</v>
      </c>
      <c r="G933" s="1">
        <v>43032</v>
      </c>
      <c r="H933">
        <v>2</v>
      </c>
      <c r="I933">
        <v>18</v>
      </c>
      <c r="J933" t="s">
        <v>15</v>
      </c>
      <c r="K933" t="s">
        <v>16</v>
      </c>
      <c r="L933" t="s">
        <v>17</v>
      </c>
    </row>
    <row r="934" spans="1:12" x14ac:dyDescent="0.35">
      <c r="A934">
        <v>933</v>
      </c>
      <c r="B934" t="s">
        <v>952</v>
      </c>
      <c r="C934">
        <v>50</v>
      </c>
      <c r="D934" t="s">
        <v>35</v>
      </c>
      <c r="E934" t="s">
        <v>20</v>
      </c>
      <c r="F934">
        <v>9616</v>
      </c>
      <c r="G934" s="1">
        <v>42769</v>
      </c>
      <c r="H934">
        <v>2</v>
      </c>
      <c r="I934">
        <v>13</v>
      </c>
      <c r="J934" t="s">
        <v>21</v>
      </c>
      <c r="K934" t="s">
        <v>22</v>
      </c>
      <c r="L934" t="s">
        <v>17</v>
      </c>
    </row>
    <row r="935" spans="1:12" x14ac:dyDescent="0.35">
      <c r="A935">
        <v>934</v>
      </c>
      <c r="B935" t="s">
        <v>953</v>
      </c>
      <c r="C935">
        <v>37</v>
      </c>
      <c r="D935" t="s">
        <v>35</v>
      </c>
      <c r="E935" t="s">
        <v>27</v>
      </c>
      <c r="F935">
        <v>3364</v>
      </c>
      <c r="G935" s="1">
        <v>42348</v>
      </c>
      <c r="H935">
        <v>2</v>
      </c>
      <c r="I935">
        <v>8</v>
      </c>
      <c r="J935" t="s">
        <v>15</v>
      </c>
      <c r="K935" t="s">
        <v>22</v>
      </c>
      <c r="L935" t="s">
        <v>23</v>
      </c>
    </row>
    <row r="936" spans="1:12" x14ac:dyDescent="0.35">
      <c r="A936">
        <v>935</v>
      </c>
      <c r="B936" t="s">
        <v>954</v>
      </c>
      <c r="C936">
        <v>30</v>
      </c>
      <c r="D936" t="s">
        <v>35</v>
      </c>
      <c r="E936" t="s">
        <v>27</v>
      </c>
      <c r="F936">
        <v>2735</v>
      </c>
      <c r="G936" s="1">
        <v>42319</v>
      </c>
      <c r="H936">
        <v>0</v>
      </c>
      <c r="I936">
        <v>16</v>
      </c>
      <c r="J936" t="s">
        <v>15</v>
      </c>
      <c r="K936" t="s">
        <v>16</v>
      </c>
      <c r="L936" t="s">
        <v>23</v>
      </c>
    </row>
    <row r="937" spans="1:12" x14ac:dyDescent="0.35">
      <c r="A937">
        <v>936</v>
      </c>
      <c r="B937" t="s">
        <v>955</v>
      </c>
      <c r="C937">
        <v>62</v>
      </c>
      <c r="D937" t="s">
        <v>13</v>
      </c>
      <c r="E937" t="s">
        <v>20</v>
      </c>
      <c r="F937">
        <v>4369</v>
      </c>
      <c r="G937" s="1">
        <v>45630</v>
      </c>
      <c r="H937">
        <v>0</v>
      </c>
      <c r="I937">
        <v>17</v>
      </c>
      <c r="J937" t="s">
        <v>15</v>
      </c>
      <c r="K937" t="s">
        <v>30</v>
      </c>
      <c r="L937" t="s">
        <v>25</v>
      </c>
    </row>
    <row r="938" spans="1:12" x14ac:dyDescent="0.35">
      <c r="A938">
        <v>937</v>
      </c>
      <c r="B938" t="s">
        <v>956</v>
      </c>
      <c r="C938">
        <v>65</v>
      </c>
      <c r="D938" t="s">
        <v>19</v>
      </c>
      <c r="E938" t="s">
        <v>14</v>
      </c>
      <c r="F938">
        <v>8129</v>
      </c>
      <c r="G938" s="1">
        <v>42429</v>
      </c>
      <c r="I938">
        <v>10</v>
      </c>
      <c r="J938" t="s">
        <v>15</v>
      </c>
      <c r="K938" t="s">
        <v>16</v>
      </c>
      <c r="L938" t="s">
        <v>17</v>
      </c>
    </row>
    <row r="939" spans="1:12" x14ac:dyDescent="0.35">
      <c r="A939">
        <v>938</v>
      </c>
      <c r="B939" t="s">
        <v>957</v>
      </c>
      <c r="C939">
        <v>52</v>
      </c>
      <c r="D939" t="s">
        <v>13</v>
      </c>
      <c r="E939" t="s">
        <v>20</v>
      </c>
      <c r="F939">
        <v>9963</v>
      </c>
      <c r="G939" s="1">
        <v>42635</v>
      </c>
      <c r="H939">
        <v>5</v>
      </c>
      <c r="I939">
        <v>20</v>
      </c>
      <c r="J939" t="s">
        <v>21</v>
      </c>
      <c r="K939" t="s">
        <v>22</v>
      </c>
      <c r="L939" t="s">
        <v>25</v>
      </c>
    </row>
    <row r="940" spans="1:12" x14ac:dyDescent="0.35">
      <c r="A940">
        <v>939</v>
      </c>
      <c r="B940" t="s">
        <v>958</v>
      </c>
      <c r="C940">
        <v>60</v>
      </c>
      <c r="D940" t="s">
        <v>13</v>
      </c>
      <c r="E940" t="s">
        <v>20</v>
      </c>
      <c r="F940">
        <v>8067</v>
      </c>
      <c r="G940" s="1">
        <v>45263</v>
      </c>
      <c r="I940">
        <v>8</v>
      </c>
      <c r="J940" t="s">
        <v>21</v>
      </c>
      <c r="K940" t="s">
        <v>16</v>
      </c>
      <c r="L940" t="s">
        <v>23</v>
      </c>
    </row>
    <row r="941" spans="1:12" x14ac:dyDescent="0.35">
      <c r="A941">
        <v>940</v>
      </c>
      <c r="B941" t="s">
        <v>959</v>
      </c>
      <c r="C941">
        <v>57</v>
      </c>
      <c r="D941" t="s">
        <v>13</v>
      </c>
      <c r="E941" t="s">
        <v>14</v>
      </c>
      <c r="F941">
        <v>8927</v>
      </c>
      <c r="G941" s="1">
        <v>45495</v>
      </c>
      <c r="H941">
        <v>0</v>
      </c>
      <c r="I941">
        <v>17</v>
      </c>
      <c r="J941" t="s">
        <v>15</v>
      </c>
      <c r="K941" t="s">
        <v>30</v>
      </c>
      <c r="L941" t="s">
        <v>17</v>
      </c>
    </row>
    <row r="942" spans="1:12" x14ac:dyDescent="0.35">
      <c r="A942">
        <v>941</v>
      </c>
      <c r="B942" t="s">
        <v>960</v>
      </c>
      <c r="C942">
        <v>49</v>
      </c>
      <c r="D942" t="s">
        <v>35</v>
      </c>
      <c r="E942" t="s">
        <v>27</v>
      </c>
      <c r="F942">
        <v>7068</v>
      </c>
      <c r="G942" s="1">
        <v>43607</v>
      </c>
      <c r="H942">
        <v>0</v>
      </c>
      <c r="I942">
        <v>11</v>
      </c>
      <c r="J942" t="s">
        <v>15</v>
      </c>
      <c r="K942" t="s">
        <v>30</v>
      </c>
      <c r="L942" t="s">
        <v>25</v>
      </c>
    </row>
    <row r="943" spans="1:12" x14ac:dyDescent="0.35">
      <c r="A943">
        <v>942</v>
      </c>
      <c r="B943" t="s">
        <v>961</v>
      </c>
      <c r="C943">
        <v>38</v>
      </c>
      <c r="D943" t="s">
        <v>19</v>
      </c>
      <c r="E943" t="s">
        <v>14</v>
      </c>
      <c r="F943">
        <v>8277</v>
      </c>
      <c r="G943" s="1">
        <v>44079</v>
      </c>
      <c r="H943">
        <v>4</v>
      </c>
      <c r="I943">
        <v>9</v>
      </c>
      <c r="J943" t="s">
        <v>21</v>
      </c>
      <c r="K943" t="s">
        <v>22</v>
      </c>
      <c r="L943" t="s">
        <v>23</v>
      </c>
    </row>
    <row r="944" spans="1:12" x14ac:dyDescent="0.35">
      <c r="A944">
        <v>943</v>
      </c>
      <c r="B944" t="s">
        <v>962</v>
      </c>
      <c r="C944">
        <v>60</v>
      </c>
      <c r="D944" t="s">
        <v>19</v>
      </c>
      <c r="E944" t="s">
        <v>27</v>
      </c>
      <c r="F944">
        <v>2300</v>
      </c>
      <c r="G944" s="1">
        <v>42783</v>
      </c>
      <c r="I944">
        <v>13</v>
      </c>
      <c r="J944" t="s">
        <v>15</v>
      </c>
      <c r="K944" t="s">
        <v>16</v>
      </c>
      <c r="L944" t="s">
        <v>25</v>
      </c>
    </row>
    <row r="945" spans="1:12" x14ac:dyDescent="0.35">
      <c r="A945">
        <v>944</v>
      </c>
      <c r="B945" t="s">
        <v>963</v>
      </c>
      <c r="C945">
        <v>35</v>
      </c>
      <c r="D945" t="s">
        <v>35</v>
      </c>
      <c r="E945" t="s">
        <v>27</v>
      </c>
      <c r="F945">
        <v>7251</v>
      </c>
      <c r="G945" s="1">
        <v>44180</v>
      </c>
      <c r="H945">
        <v>3</v>
      </c>
      <c r="I945">
        <v>19</v>
      </c>
      <c r="J945" t="s">
        <v>15</v>
      </c>
      <c r="K945" t="s">
        <v>22</v>
      </c>
      <c r="L945" t="s">
        <v>23</v>
      </c>
    </row>
    <row r="946" spans="1:12" x14ac:dyDescent="0.35">
      <c r="A946">
        <v>945</v>
      </c>
      <c r="B946" t="s">
        <v>964</v>
      </c>
      <c r="C946">
        <v>29</v>
      </c>
      <c r="D946" t="s">
        <v>13</v>
      </c>
      <c r="E946" t="s">
        <v>14</v>
      </c>
      <c r="F946">
        <v>9402</v>
      </c>
      <c r="G946" s="1">
        <v>43082</v>
      </c>
      <c r="H946">
        <v>0</v>
      </c>
      <c r="I946">
        <v>1</v>
      </c>
      <c r="J946" t="s">
        <v>15</v>
      </c>
      <c r="K946" t="s">
        <v>16</v>
      </c>
      <c r="L946" t="s">
        <v>17</v>
      </c>
    </row>
    <row r="947" spans="1:12" x14ac:dyDescent="0.35">
      <c r="A947">
        <v>946</v>
      </c>
      <c r="B947" t="s">
        <v>965</v>
      </c>
      <c r="C947">
        <v>49</v>
      </c>
      <c r="D947" t="s">
        <v>35</v>
      </c>
      <c r="E947" t="s">
        <v>20</v>
      </c>
      <c r="F947">
        <v>2940</v>
      </c>
      <c r="G947" s="1">
        <v>43956</v>
      </c>
      <c r="H947">
        <v>5</v>
      </c>
      <c r="I947">
        <v>8</v>
      </c>
      <c r="J947" t="s">
        <v>21</v>
      </c>
      <c r="K947" t="s">
        <v>16</v>
      </c>
      <c r="L947" t="s">
        <v>17</v>
      </c>
    </row>
    <row r="948" spans="1:12" x14ac:dyDescent="0.35">
      <c r="A948">
        <v>947</v>
      </c>
      <c r="B948" t="s">
        <v>966</v>
      </c>
      <c r="C948">
        <v>23</v>
      </c>
      <c r="D948" t="s">
        <v>35</v>
      </c>
      <c r="E948" t="s">
        <v>27</v>
      </c>
      <c r="F948">
        <v>6916</v>
      </c>
      <c r="G948" s="1">
        <v>42654</v>
      </c>
      <c r="I948">
        <v>10</v>
      </c>
      <c r="J948" t="s">
        <v>21</v>
      </c>
      <c r="K948" t="s">
        <v>22</v>
      </c>
      <c r="L948" t="s">
        <v>25</v>
      </c>
    </row>
    <row r="949" spans="1:12" x14ac:dyDescent="0.35">
      <c r="A949">
        <v>948</v>
      </c>
      <c r="B949" t="s">
        <v>967</v>
      </c>
      <c r="C949">
        <v>60</v>
      </c>
      <c r="D949" t="s">
        <v>19</v>
      </c>
      <c r="E949" t="s">
        <v>27</v>
      </c>
      <c r="F949">
        <v>4595</v>
      </c>
      <c r="G949" s="1">
        <v>42568</v>
      </c>
      <c r="I949">
        <v>6</v>
      </c>
      <c r="J949" t="s">
        <v>21</v>
      </c>
      <c r="K949" t="s">
        <v>16</v>
      </c>
      <c r="L949" t="s">
        <v>17</v>
      </c>
    </row>
    <row r="950" spans="1:12" x14ac:dyDescent="0.35">
      <c r="A950">
        <v>949</v>
      </c>
      <c r="B950" t="s">
        <v>968</v>
      </c>
      <c r="C950">
        <v>62</v>
      </c>
      <c r="D950" t="s">
        <v>19</v>
      </c>
      <c r="E950" t="s">
        <v>14</v>
      </c>
      <c r="F950">
        <v>7389</v>
      </c>
      <c r="G950" s="1">
        <v>44199</v>
      </c>
      <c r="H950">
        <v>3</v>
      </c>
      <c r="I950">
        <v>10</v>
      </c>
      <c r="J950" t="s">
        <v>15</v>
      </c>
      <c r="K950" t="s">
        <v>22</v>
      </c>
      <c r="L950" t="s">
        <v>23</v>
      </c>
    </row>
    <row r="951" spans="1:12" x14ac:dyDescent="0.35">
      <c r="A951">
        <v>950</v>
      </c>
      <c r="B951" t="s">
        <v>969</v>
      </c>
      <c r="C951">
        <v>52</v>
      </c>
      <c r="D951" t="s">
        <v>19</v>
      </c>
      <c r="E951" t="s">
        <v>20</v>
      </c>
      <c r="F951">
        <v>5770</v>
      </c>
      <c r="G951" s="1">
        <v>42541</v>
      </c>
      <c r="H951">
        <v>1</v>
      </c>
      <c r="I951">
        <v>10</v>
      </c>
      <c r="J951" t="s">
        <v>21</v>
      </c>
      <c r="K951" t="s">
        <v>22</v>
      </c>
      <c r="L951" t="s">
        <v>25</v>
      </c>
    </row>
    <row r="952" spans="1:12" x14ac:dyDescent="0.35">
      <c r="A952">
        <v>951</v>
      </c>
      <c r="B952" t="s">
        <v>970</v>
      </c>
      <c r="C952">
        <v>44</v>
      </c>
      <c r="D952" t="s">
        <v>35</v>
      </c>
      <c r="E952" t="s">
        <v>27</v>
      </c>
      <c r="F952">
        <v>2389</v>
      </c>
      <c r="G952" s="1">
        <v>42104</v>
      </c>
      <c r="I952">
        <v>15</v>
      </c>
      <c r="J952" t="s">
        <v>21</v>
      </c>
      <c r="K952" t="s">
        <v>30</v>
      </c>
      <c r="L952" t="s">
        <v>23</v>
      </c>
    </row>
    <row r="953" spans="1:12" x14ac:dyDescent="0.35">
      <c r="A953">
        <v>952</v>
      </c>
      <c r="B953" t="s">
        <v>971</v>
      </c>
      <c r="C953">
        <v>43</v>
      </c>
      <c r="D953" t="s">
        <v>13</v>
      </c>
      <c r="E953" t="s">
        <v>27</v>
      </c>
      <c r="F953">
        <v>5833</v>
      </c>
      <c r="G953" s="1">
        <v>44375</v>
      </c>
      <c r="H953">
        <v>4</v>
      </c>
      <c r="I953">
        <v>15</v>
      </c>
      <c r="J953" t="s">
        <v>15</v>
      </c>
      <c r="K953" t="s">
        <v>30</v>
      </c>
      <c r="L953" t="s">
        <v>17</v>
      </c>
    </row>
    <row r="954" spans="1:12" x14ac:dyDescent="0.35">
      <c r="A954">
        <v>953</v>
      </c>
      <c r="B954" t="s">
        <v>972</v>
      </c>
      <c r="C954">
        <v>20</v>
      </c>
      <c r="D954" t="s">
        <v>35</v>
      </c>
      <c r="E954" t="s">
        <v>14</v>
      </c>
      <c r="F954">
        <v>2786</v>
      </c>
      <c r="G954" s="1">
        <v>45579</v>
      </c>
      <c r="H954">
        <v>1</v>
      </c>
      <c r="I954">
        <v>15</v>
      </c>
      <c r="J954" t="s">
        <v>15</v>
      </c>
      <c r="K954" t="s">
        <v>22</v>
      </c>
      <c r="L954" t="s">
        <v>25</v>
      </c>
    </row>
    <row r="955" spans="1:12" x14ac:dyDescent="0.35">
      <c r="A955">
        <v>954</v>
      </c>
      <c r="B955" t="s">
        <v>973</v>
      </c>
      <c r="C955">
        <v>53</v>
      </c>
      <c r="D955" t="s">
        <v>35</v>
      </c>
      <c r="E955" t="s">
        <v>14</v>
      </c>
      <c r="F955">
        <v>5616</v>
      </c>
      <c r="G955" s="1">
        <v>44773</v>
      </c>
      <c r="H955">
        <v>4</v>
      </c>
      <c r="I955">
        <v>16</v>
      </c>
      <c r="J955" t="s">
        <v>15</v>
      </c>
      <c r="K955" t="s">
        <v>22</v>
      </c>
      <c r="L955" t="s">
        <v>17</v>
      </c>
    </row>
    <row r="956" spans="1:12" x14ac:dyDescent="0.35">
      <c r="A956">
        <v>955</v>
      </c>
      <c r="B956" t="s">
        <v>974</v>
      </c>
      <c r="C956">
        <v>42</v>
      </c>
      <c r="D956" t="s">
        <v>19</v>
      </c>
      <c r="E956" t="s">
        <v>20</v>
      </c>
      <c r="F956">
        <v>4887</v>
      </c>
      <c r="G956" s="1">
        <v>44071</v>
      </c>
      <c r="H956">
        <v>3</v>
      </c>
      <c r="I956">
        <v>13</v>
      </c>
      <c r="J956" t="s">
        <v>21</v>
      </c>
      <c r="K956" t="s">
        <v>30</v>
      </c>
      <c r="L956" t="s">
        <v>17</v>
      </c>
    </row>
    <row r="957" spans="1:12" x14ac:dyDescent="0.35">
      <c r="A957">
        <v>956</v>
      </c>
      <c r="B957" t="s">
        <v>975</v>
      </c>
      <c r="C957">
        <v>49</v>
      </c>
      <c r="D957" t="s">
        <v>19</v>
      </c>
      <c r="E957" t="s">
        <v>20</v>
      </c>
      <c r="F957">
        <v>3437</v>
      </c>
      <c r="G957" s="1">
        <v>43696</v>
      </c>
      <c r="I957">
        <v>18</v>
      </c>
      <c r="J957" t="s">
        <v>21</v>
      </c>
      <c r="K957" t="s">
        <v>22</v>
      </c>
      <c r="L957" t="s">
        <v>17</v>
      </c>
    </row>
    <row r="958" spans="1:12" x14ac:dyDescent="0.35">
      <c r="A958">
        <v>957</v>
      </c>
      <c r="B958" t="s">
        <v>976</v>
      </c>
      <c r="C958">
        <v>54</v>
      </c>
      <c r="D958" t="s">
        <v>19</v>
      </c>
      <c r="E958" t="s">
        <v>20</v>
      </c>
      <c r="F958">
        <v>6091</v>
      </c>
      <c r="G958" s="1">
        <v>43122</v>
      </c>
      <c r="H958">
        <v>2</v>
      </c>
      <c r="I958">
        <v>12</v>
      </c>
      <c r="J958" t="s">
        <v>15</v>
      </c>
      <c r="K958" t="s">
        <v>16</v>
      </c>
      <c r="L958" t="s">
        <v>23</v>
      </c>
    </row>
    <row r="959" spans="1:12" x14ac:dyDescent="0.35">
      <c r="A959">
        <v>958</v>
      </c>
      <c r="B959" t="s">
        <v>977</v>
      </c>
      <c r="C959">
        <v>34</v>
      </c>
      <c r="D959" t="s">
        <v>19</v>
      </c>
      <c r="E959" t="s">
        <v>20</v>
      </c>
      <c r="F959">
        <v>6501</v>
      </c>
      <c r="G959" s="1">
        <v>45224</v>
      </c>
      <c r="I959">
        <v>13</v>
      </c>
      <c r="J959" t="s">
        <v>15</v>
      </c>
      <c r="K959" t="s">
        <v>30</v>
      </c>
      <c r="L959" t="s">
        <v>17</v>
      </c>
    </row>
    <row r="960" spans="1:12" x14ac:dyDescent="0.35">
      <c r="A960">
        <v>959</v>
      </c>
      <c r="B960" t="s">
        <v>978</v>
      </c>
      <c r="C960">
        <v>51</v>
      </c>
      <c r="D960" t="s">
        <v>13</v>
      </c>
      <c r="E960" t="s">
        <v>14</v>
      </c>
      <c r="F960">
        <v>6415</v>
      </c>
      <c r="G960" s="1">
        <v>44640</v>
      </c>
      <c r="H960">
        <v>1</v>
      </c>
      <c r="I960">
        <v>8</v>
      </c>
      <c r="J960" t="s">
        <v>21</v>
      </c>
      <c r="K960" t="s">
        <v>16</v>
      </c>
      <c r="L960" t="s">
        <v>23</v>
      </c>
    </row>
    <row r="961" spans="1:12" x14ac:dyDescent="0.35">
      <c r="A961">
        <v>960</v>
      </c>
      <c r="B961" t="s">
        <v>979</v>
      </c>
      <c r="C961">
        <v>63</v>
      </c>
      <c r="D961" t="s">
        <v>19</v>
      </c>
      <c r="E961" t="s">
        <v>14</v>
      </c>
      <c r="F961">
        <v>7490</v>
      </c>
      <c r="G961" s="1">
        <v>44996</v>
      </c>
      <c r="I961">
        <v>16</v>
      </c>
      <c r="J961" t="s">
        <v>15</v>
      </c>
      <c r="K961" t="s">
        <v>16</v>
      </c>
      <c r="L961" t="s">
        <v>17</v>
      </c>
    </row>
    <row r="962" spans="1:12" x14ac:dyDescent="0.35">
      <c r="A962">
        <v>961</v>
      </c>
      <c r="B962" t="s">
        <v>980</v>
      </c>
      <c r="C962">
        <v>63</v>
      </c>
      <c r="D962" t="s">
        <v>19</v>
      </c>
      <c r="E962" t="s">
        <v>20</v>
      </c>
      <c r="F962">
        <v>4954</v>
      </c>
      <c r="G962" s="1">
        <v>44522</v>
      </c>
      <c r="H962">
        <v>1</v>
      </c>
      <c r="I962">
        <v>15</v>
      </c>
      <c r="J962" t="s">
        <v>21</v>
      </c>
      <c r="K962" t="s">
        <v>16</v>
      </c>
      <c r="L962" t="s">
        <v>17</v>
      </c>
    </row>
    <row r="963" spans="1:12" x14ac:dyDescent="0.35">
      <c r="A963">
        <v>962</v>
      </c>
      <c r="B963" t="s">
        <v>981</v>
      </c>
      <c r="C963">
        <v>21</v>
      </c>
      <c r="D963" t="s">
        <v>13</v>
      </c>
      <c r="E963" t="s">
        <v>20</v>
      </c>
      <c r="F963">
        <v>3896</v>
      </c>
      <c r="G963" s="1">
        <v>44269</v>
      </c>
      <c r="H963">
        <v>0</v>
      </c>
      <c r="I963">
        <v>7</v>
      </c>
      <c r="J963" t="s">
        <v>15</v>
      </c>
      <c r="K963" t="s">
        <v>30</v>
      </c>
      <c r="L963" t="s">
        <v>17</v>
      </c>
    </row>
    <row r="964" spans="1:12" x14ac:dyDescent="0.35">
      <c r="A964">
        <v>963</v>
      </c>
      <c r="B964" t="s">
        <v>982</v>
      </c>
      <c r="C964">
        <v>65</v>
      </c>
      <c r="D964" t="s">
        <v>13</v>
      </c>
      <c r="E964" t="s">
        <v>20</v>
      </c>
      <c r="F964">
        <v>6788</v>
      </c>
      <c r="G964" s="1">
        <v>45313</v>
      </c>
      <c r="H964">
        <v>4</v>
      </c>
      <c r="I964">
        <v>6</v>
      </c>
      <c r="J964" t="s">
        <v>15</v>
      </c>
      <c r="K964" t="s">
        <v>16</v>
      </c>
      <c r="L964" t="s">
        <v>23</v>
      </c>
    </row>
    <row r="965" spans="1:12" x14ac:dyDescent="0.35">
      <c r="A965">
        <v>964</v>
      </c>
      <c r="B965" t="s">
        <v>983</v>
      </c>
      <c r="C965">
        <v>35</v>
      </c>
      <c r="D965" t="s">
        <v>35</v>
      </c>
      <c r="E965" t="s">
        <v>14</v>
      </c>
      <c r="F965">
        <v>3433</v>
      </c>
      <c r="G965" s="1">
        <v>44080</v>
      </c>
      <c r="H965">
        <v>4</v>
      </c>
      <c r="I965">
        <v>3</v>
      </c>
      <c r="J965" t="s">
        <v>15</v>
      </c>
      <c r="K965" t="s">
        <v>30</v>
      </c>
      <c r="L965" t="s">
        <v>17</v>
      </c>
    </row>
    <row r="966" spans="1:12" x14ac:dyDescent="0.35">
      <c r="A966">
        <v>965</v>
      </c>
      <c r="B966" t="s">
        <v>984</v>
      </c>
      <c r="C966">
        <v>46</v>
      </c>
      <c r="D966" t="s">
        <v>19</v>
      </c>
      <c r="E966" t="s">
        <v>27</v>
      </c>
      <c r="F966">
        <v>3132</v>
      </c>
      <c r="G966" s="1">
        <v>42189</v>
      </c>
      <c r="H966">
        <v>2</v>
      </c>
      <c r="I966">
        <v>10</v>
      </c>
      <c r="J966" t="s">
        <v>21</v>
      </c>
      <c r="K966" t="s">
        <v>30</v>
      </c>
      <c r="L966" t="s">
        <v>23</v>
      </c>
    </row>
    <row r="967" spans="1:12" x14ac:dyDescent="0.35">
      <c r="A967">
        <v>966</v>
      </c>
      <c r="B967" t="s">
        <v>985</v>
      </c>
      <c r="C967">
        <v>65</v>
      </c>
      <c r="D967" t="s">
        <v>13</v>
      </c>
      <c r="E967" t="s">
        <v>14</v>
      </c>
      <c r="F967">
        <v>2959</v>
      </c>
      <c r="G967" s="1">
        <v>43642</v>
      </c>
      <c r="H967">
        <v>0</v>
      </c>
      <c r="I967">
        <v>2</v>
      </c>
      <c r="J967" t="s">
        <v>15</v>
      </c>
      <c r="K967" t="s">
        <v>22</v>
      </c>
      <c r="L967" t="s">
        <v>23</v>
      </c>
    </row>
    <row r="968" spans="1:12" x14ac:dyDescent="0.35">
      <c r="A968">
        <v>967</v>
      </c>
      <c r="B968" t="s">
        <v>986</v>
      </c>
      <c r="C968">
        <v>50</v>
      </c>
      <c r="D968" t="s">
        <v>13</v>
      </c>
      <c r="E968" t="s">
        <v>14</v>
      </c>
      <c r="F968">
        <v>2736</v>
      </c>
      <c r="G968" s="1">
        <v>45529</v>
      </c>
      <c r="H968">
        <v>1</v>
      </c>
      <c r="I968">
        <v>13</v>
      </c>
      <c r="J968" t="s">
        <v>15</v>
      </c>
      <c r="K968" t="s">
        <v>30</v>
      </c>
      <c r="L968" t="s">
        <v>23</v>
      </c>
    </row>
    <row r="969" spans="1:12" x14ac:dyDescent="0.35">
      <c r="A969">
        <v>968</v>
      </c>
      <c r="B969" t="s">
        <v>987</v>
      </c>
      <c r="C969">
        <v>25</v>
      </c>
      <c r="D969" t="s">
        <v>19</v>
      </c>
      <c r="E969" t="s">
        <v>27</v>
      </c>
      <c r="F969">
        <v>4977</v>
      </c>
      <c r="G969" s="1">
        <v>45478</v>
      </c>
      <c r="H969">
        <v>2</v>
      </c>
      <c r="I969">
        <v>19</v>
      </c>
      <c r="J969" t="s">
        <v>21</v>
      </c>
      <c r="K969" t="s">
        <v>22</v>
      </c>
      <c r="L969" t="s">
        <v>23</v>
      </c>
    </row>
    <row r="970" spans="1:12" x14ac:dyDescent="0.35">
      <c r="A970">
        <v>969</v>
      </c>
      <c r="B970" t="s">
        <v>988</v>
      </c>
      <c r="C970">
        <v>65</v>
      </c>
      <c r="D970" t="s">
        <v>19</v>
      </c>
      <c r="E970" t="s">
        <v>20</v>
      </c>
      <c r="F970">
        <v>8928</v>
      </c>
      <c r="G970" s="1">
        <v>43926</v>
      </c>
      <c r="H970">
        <v>1</v>
      </c>
      <c r="I970">
        <v>6</v>
      </c>
      <c r="J970" t="s">
        <v>15</v>
      </c>
      <c r="K970" t="s">
        <v>30</v>
      </c>
      <c r="L970" t="s">
        <v>23</v>
      </c>
    </row>
    <row r="971" spans="1:12" x14ac:dyDescent="0.35">
      <c r="A971">
        <v>970</v>
      </c>
      <c r="B971" t="s">
        <v>989</v>
      </c>
      <c r="C971">
        <v>53</v>
      </c>
      <c r="D971" t="s">
        <v>35</v>
      </c>
      <c r="E971" t="s">
        <v>20</v>
      </c>
      <c r="F971">
        <v>8260</v>
      </c>
      <c r="G971" s="1">
        <v>44073</v>
      </c>
      <c r="I971">
        <v>15</v>
      </c>
      <c r="J971" t="s">
        <v>21</v>
      </c>
      <c r="K971" t="s">
        <v>16</v>
      </c>
      <c r="L971" t="s">
        <v>17</v>
      </c>
    </row>
    <row r="972" spans="1:12" x14ac:dyDescent="0.35">
      <c r="A972">
        <v>971</v>
      </c>
      <c r="B972" t="s">
        <v>990</v>
      </c>
      <c r="C972">
        <v>50</v>
      </c>
      <c r="D972" t="s">
        <v>35</v>
      </c>
      <c r="E972" t="s">
        <v>27</v>
      </c>
      <c r="F972">
        <v>5639</v>
      </c>
      <c r="G972" s="1">
        <v>42254</v>
      </c>
      <c r="H972">
        <v>3</v>
      </c>
      <c r="I972">
        <v>1</v>
      </c>
      <c r="J972" t="s">
        <v>21</v>
      </c>
      <c r="K972" t="s">
        <v>16</v>
      </c>
      <c r="L972" t="s">
        <v>25</v>
      </c>
    </row>
    <row r="973" spans="1:12" x14ac:dyDescent="0.35">
      <c r="A973">
        <v>972</v>
      </c>
      <c r="B973" t="s">
        <v>991</v>
      </c>
      <c r="C973">
        <v>22</v>
      </c>
      <c r="D973" t="s">
        <v>35</v>
      </c>
      <c r="E973" t="s">
        <v>27</v>
      </c>
      <c r="F973">
        <v>9049</v>
      </c>
      <c r="G973" s="1">
        <v>42542</v>
      </c>
      <c r="I973">
        <v>19</v>
      </c>
      <c r="J973" t="s">
        <v>21</v>
      </c>
      <c r="K973" t="s">
        <v>30</v>
      </c>
      <c r="L973" t="s">
        <v>17</v>
      </c>
    </row>
    <row r="974" spans="1:12" x14ac:dyDescent="0.35">
      <c r="A974">
        <v>973</v>
      </c>
      <c r="B974" t="s">
        <v>992</v>
      </c>
      <c r="C974">
        <v>23</v>
      </c>
      <c r="D974" t="s">
        <v>19</v>
      </c>
      <c r="E974" t="s">
        <v>20</v>
      </c>
      <c r="F974">
        <v>6871</v>
      </c>
      <c r="G974" s="1">
        <v>42471</v>
      </c>
      <c r="H974">
        <v>4</v>
      </c>
      <c r="I974">
        <v>15</v>
      </c>
      <c r="J974" t="s">
        <v>21</v>
      </c>
      <c r="K974" t="s">
        <v>16</v>
      </c>
      <c r="L974" t="s">
        <v>25</v>
      </c>
    </row>
    <row r="975" spans="1:12" x14ac:dyDescent="0.35">
      <c r="A975">
        <v>974</v>
      </c>
      <c r="B975" t="s">
        <v>993</v>
      </c>
      <c r="C975">
        <v>18</v>
      </c>
      <c r="D975" t="s">
        <v>19</v>
      </c>
      <c r="E975" t="s">
        <v>27</v>
      </c>
      <c r="F975">
        <v>3388</v>
      </c>
      <c r="G975" s="1">
        <v>45530</v>
      </c>
      <c r="I975">
        <v>19</v>
      </c>
      <c r="J975" t="s">
        <v>21</v>
      </c>
      <c r="K975" t="s">
        <v>30</v>
      </c>
      <c r="L975" t="s">
        <v>23</v>
      </c>
    </row>
    <row r="976" spans="1:12" x14ac:dyDescent="0.35">
      <c r="A976">
        <v>975</v>
      </c>
      <c r="B976" t="s">
        <v>994</v>
      </c>
      <c r="C976">
        <v>37</v>
      </c>
      <c r="D976" t="s">
        <v>35</v>
      </c>
      <c r="E976" t="s">
        <v>27</v>
      </c>
      <c r="F976">
        <v>3288</v>
      </c>
      <c r="G976" s="1">
        <v>43236</v>
      </c>
      <c r="H976">
        <v>2</v>
      </c>
      <c r="I976">
        <v>15</v>
      </c>
      <c r="J976" t="s">
        <v>21</v>
      </c>
      <c r="K976" t="s">
        <v>22</v>
      </c>
      <c r="L976" t="s">
        <v>17</v>
      </c>
    </row>
    <row r="977" spans="1:12" x14ac:dyDescent="0.35">
      <c r="A977">
        <v>976</v>
      </c>
      <c r="B977" t="s">
        <v>995</v>
      </c>
      <c r="C977">
        <v>52</v>
      </c>
      <c r="D977" t="s">
        <v>13</v>
      </c>
      <c r="E977" t="s">
        <v>27</v>
      </c>
      <c r="F977">
        <v>2093</v>
      </c>
      <c r="G977" s="1">
        <v>44096</v>
      </c>
      <c r="H977">
        <v>0</v>
      </c>
      <c r="I977">
        <v>14</v>
      </c>
      <c r="J977" t="s">
        <v>15</v>
      </c>
      <c r="K977" t="s">
        <v>16</v>
      </c>
      <c r="L977" t="s">
        <v>17</v>
      </c>
    </row>
    <row r="978" spans="1:12" x14ac:dyDescent="0.35">
      <c r="A978">
        <v>977</v>
      </c>
      <c r="B978" t="s">
        <v>996</v>
      </c>
      <c r="C978">
        <v>19</v>
      </c>
      <c r="D978" t="s">
        <v>35</v>
      </c>
      <c r="E978" t="s">
        <v>20</v>
      </c>
      <c r="F978">
        <v>9331</v>
      </c>
      <c r="G978" s="1">
        <v>43284</v>
      </c>
      <c r="H978">
        <v>5</v>
      </c>
      <c r="I978">
        <v>12</v>
      </c>
      <c r="J978" t="s">
        <v>15</v>
      </c>
      <c r="K978" t="s">
        <v>16</v>
      </c>
      <c r="L978" t="s">
        <v>25</v>
      </c>
    </row>
    <row r="979" spans="1:12" x14ac:dyDescent="0.35">
      <c r="A979">
        <v>978</v>
      </c>
      <c r="B979" t="s">
        <v>180</v>
      </c>
      <c r="C979">
        <v>24</v>
      </c>
      <c r="D979" t="s">
        <v>19</v>
      </c>
      <c r="E979" t="s">
        <v>20</v>
      </c>
      <c r="F979">
        <v>5081</v>
      </c>
      <c r="G979" s="1">
        <v>44134</v>
      </c>
      <c r="H979">
        <v>3</v>
      </c>
      <c r="I979">
        <v>7</v>
      </c>
      <c r="J979" t="s">
        <v>21</v>
      </c>
      <c r="K979" t="s">
        <v>16</v>
      </c>
      <c r="L979" t="s">
        <v>25</v>
      </c>
    </row>
    <row r="980" spans="1:12" x14ac:dyDescent="0.35">
      <c r="A980">
        <v>979</v>
      </c>
      <c r="B980" t="s">
        <v>691</v>
      </c>
      <c r="C980">
        <v>18</v>
      </c>
      <c r="D980" t="s">
        <v>13</v>
      </c>
      <c r="E980" t="s">
        <v>27</v>
      </c>
      <c r="F980">
        <v>6086</v>
      </c>
      <c r="G980" s="1">
        <v>43615</v>
      </c>
      <c r="H980">
        <v>4</v>
      </c>
      <c r="I980">
        <v>7</v>
      </c>
      <c r="J980" t="s">
        <v>21</v>
      </c>
      <c r="K980" t="s">
        <v>22</v>
      </c>
      <c r="L980" t="s">
        <v>23</v>
      </c>
    </row>
    <row r="981" spans="1:12" x14ac:dyDescent="0.35">
      <c r="A981">
        <v>980</v>
      </c>
      <c r="B981" t="s">
        <v>997</v>
      </c>
      <c r="C981">
        <v>55</v>
      </c>
      <c r="D981" t="s">
        <v>13</v>
      </c>
      <c r="E981" t="s">
        <v>27</v>
      </c>
      <c r="F981">
        <v>4952</v>
      </c>
      <c r="G981" s="1">
        <v>45173</v>
      </c>
      <c r="H981">
        <v>2</v>
      </c>
      <c r="I981">
        <v>5</v>
      </c>
      <c r="J981" t="s">
        <v>15</v>
      </c>
      <c r="K981" t="s">
        <v>30</v>
      </c>
      <c r="L981" t="s">
        <v>17</v>
      </c>
    </row>
    <row r="982" spans="1:12" x14ac:dyDescent="0.35">
      <c r="A982">
        <v>981</v>
      </c>
      <c r="B982" t="s">
        <v>998</v>
      </c>
      <c r="C982">
        <v>28</v>
      </c>
      <c r="D982" t="s">
        <v>35</v>
      </c>
      <c r="E982" t="s">
        <v>14</v>
      </c>
      <c r="F982">
        <v>2244</v>
      </c>
      <c r="G982" s="1">
        <v>44383</v>
      </c>
      <c r="H982">
        <v>4</v>
      </c>
      <c r="I982">
        <v>2</v>
      </c>
      <c r="J982" t="s">
        <v>21</v>
      </c>
      <c r="K982" t="s">
        <v>30</v>
      </c>
      <c r="L982" t="s">
        <v>17</v>
      </c>
    </row>
    <row r="983" spans="1:12" x14ac:dyDescent="0.35">
      <c r="A983">
        <v>982</v>
      </c>
      <c r="B983" t="s">
        <v>999</v>
      </c>
      <c r="C983">
        <v>31</v>
      </c>
      <c r="D983" t="s">
        <v>13</v>
      </c>
      <c r="E983" t="s">
        <v>20</v>
      </c>
      <c r="F983">
        <v>4921</v>
      </c>
      <c r="G983" s="1">
        <v>42611</v>
      </c>
      <c r="H983">
        <v>0</v>
      </c>
      <c r="I983">
        <v>19</v>
      </c>
      <c r="J983" t="s">
        <v>15</v>
      </c>
      <c r="K983" t="s">
        <v>16</v>
      </c>
      <c r="L983" t="s">
        <v>23</v>
      </c>
    </row>
    <row r="984" spans="1:12" x14ac:dyDescent="0.35">
      <c r="A984">
        <v>983</v>
      </c>
      <c r="B984" t="s">
        <v>1000</v>
      </c>
      <c r="C984">
        <v>46</v>
      </c>
      <c r="D984" t="s">
        <v>19</v>
      </c>
      <c r="E984" t="s">
        <v>20</v>
      </c>
      <c r="F984">
        <v>8696</v>
      </c>
      <c r="G984" s="1">
        <v>44848</v>
      </c>
      <c r="H984">
        <v>4</v>
      </c>
      <c r="I984">
        <v>1</v>
      </c>
      <c r="J984" t="s">
        <v>15</v>
      </c>
      <c r="K984" t="s">
        <v>16</v>
      </c>
      <c r="L984" t="s">
        <v>23</v>
      </c>
    </row>
    <row r="985" spans="1:12" x14ac:dyDescent="0.35">
      <c r="A985">
        <v>984</v>
      </c>
      <c r="B985" t="s">
        <v>1001</v>
      </c>
      <c r="C985">
        <v>43</v>
      </c>
      <c r="D985" t="s">
        <v>35</v>
      </c>
      <c r="E985" t="s">
        <v>14</v>
      </c>
      <c r="F985">
        <v>8830</v>
      </c>
      <c r="G985" s="1">
        <v>44449</v>
      </c>
      <c r="I985">
        <v>19</v>
      </c>
      <c r="J985" t="s">
        <v>21</v>
      </c>
      <c r="K985" t="s">
        <v>30</v>
      </c>
      <c r="L985" t="s">
        <v>23</v>
      </c>
    </row>
    <row r="986" spans="1:12" x14ac:dyDescent="0.35">
      <c r="A986">
        <v>985</v>
      </c>
      <c r="B986" t="s">
        <v>1002</v>
      </c>
      <c r="C986">
        <v>41</v>
      </c>
      <c r="D986" t="s">
        <v>19</v>
      </c>
      <c r="E986" t="s">
        <v>27</v>
      </c>
      <c r="F986">
        <v>8768</v>
      </c>
      <c r="G986" s="1">
        <v>43339</v>
      </c>
      <c r="H986">
        <v>3</v>
      </c>
      <c r="I986">
        <v>16</v>
      </c>
      <c r="J986" t="s">
        <v>21</v>
      </c>
      <c r="K986" t="s">
        <v>22</v>
      </c>
      <c r="L986" t="s">
        <v>17</v>
      </c>
    </row>
    <row r="987" spans="1:12" x14ac:dyDescent="0.35">
      <c r="A987">
        <v>986</v>
      </c>
      <c r="B987" t="s">
        <v>1003</v>
      </c>
      <c r="C987">
        <v>62</v>
      </c>
      <c r="D987" t="s">
        <v>19</v>
      </c>
      <c r="E987" t="s">
        <v>14</v>
      </c>
      <c r="F987">
        <v>8555</v>
      </c>
      <c r="G987" s="1">
        <v>42846</v>
      </c>
      <c r="H987">
        <v>1</v>
      </c>
      <c r="I987">
        <v>14</v>
      </c>
      <c r="J987" t="s">
        <v>21</v>
      </c>
      <c r="K987" t="s">
        <v>22</v>
      </c>
      <c r="L987" t="s">
        <v>25</v>
      </c>
    </row>
    <row r="988" spans="1:12" x14ac:dyDescent="0.35">
      <c r="A988">
        <v>987</v>
      </c>
      <c r="B988" t="s">
        <v>1004</v>
      </c>
      <c r="C988">
        <v>39</v>
      </c>
      <c r="D988" t="s">
        <v>13</v>
      </c>
      <c r="E988" t="s">
        <v>27</v>
      </c>
      <c r="F988">
        <v>9618</v>
      </c>
      <c r="G988" s="1">
        <v>42190</v>
      </c>
      <c r="H988">
        <v>1</v>
      </c>
      <c r="I988">
        <v>13</v>
      </c>
      <c r="J988" t="s">
        <v>15</v>
      </c>
      <c r="K988" t="s">
        <v>16</v>
      </c>
      <c r="L988" t="s">
        <v>25</v>
      </c>
    </row>
    <row r="989" spans="1:12" x14ac:dyDescent="0.35">
      <c r="A989">
        <v>988</v>
      </c>
      <c r="B989" t="s">
        <v>1005</v>
      </c>
      <c r="C989">
        <v>31</v>
      </c>
      <c r="D989" t="s">
        <v>13</v>
      </c>
      <c r="E989" t="s">
        <v>27</v>
      </c>
      <c r="F989">
        <v>5605</v>
      </c>
      <c r="G989" s="1">
        <v>45471</v>
      </c>
      <c r="H989">
        <v>0</v>
      </c>
      <c r="I989">
        <v>1</v>
      </c>
      <c r="J989" t="s">
        <v>15</v>
      </c>
      <c r="K989" t="s">
        <v>30</v>
      </c>
      <c r="L989" t="s">
        <v>25</v>
      </c>
    </row>
    <row r="990" spans="1:12" x14ac:dyDescent="0.35">
      <c r="A990">
        <v>989</v>
      </c>
      <c r="B990" t="s">
        <v>1006</v>
      </c>
      <c r="C990">
        <v>36</v>
      </c>
      <c r="D990" t="s">
        <v>13</v>
      </c>
      <c r="E990" t="s">
        <v>27</v>
      </c>
      <c r="F990">
        <v>9118</v>
      </c>
      <c r="G990" s="1">
        <v>44744</v>
      </c>
      <c r="H990">
        <v>5</v>
      </c>
      <c r="I990">
        <v>5</v>
      </c>
      <c r="J990" t="s">
        <v>15</v>
      </c>
      <c r="K990" t="s">
        <v>16</v>
      </c>
      <c r="L990" t="s">
        <v>17</v>
      </c>
    </row>
    <row r="991" spans="1:12" x14ac:dyDescent="0.35">
      <c r="A991">
        <v>990</v>
      </c>
      <c r="B991" t="s">
        <v>1007</v>
      </c>
      <c r="C991">
        <v>18</v>
      </c>
      <c r="D991" t="s">
        <v>19</v>
      </c>
      <c r="E991" t="s">
        <v>14</v>
      </c>
      <c r="F991">
        <v>9985</v>
      </c>
      <c r="G991" s="1">
        <v>44870</v>
      </c>
      <c r="H991">
        <v>4</v>
      </c>
      <c r="I991">
        <v>18</v>
      </c>
      <c r="J991" t="s">
        <v>15</v>
      </c>
      <c r="K991" t="s">
        <v>30</v>
      </c>
      <c r="L991" t="s">
        <v>17</v>
      </c>
    </row>
    <row r="992" spans="1:12" x14ac:dyDescent="0.35">
      <c r="A992">
        <v>991</v>
      </c>
      <c r="B992" t="s">
        <v>1008</v>
      </c>
      <c r="C992">
        <v>53</v>
      </c>
      <c r="D992" t="s">
        <v>13</v>
      </c>
      <c r="E992" t="s">
        <v>14</v>
      </c>
      <c r="F992">
        <v>3991</v>
      </c>
      <c r="G992" s="1">
        <v>45538</v>
      </c>
      <c r="H992">
        <v>4</v>
      </c>
      <c r="I992">
        <v>8</v>
      </c>
      <c r="J992" t="s">
        <v>15</v>
      </c>
      <c r="K992" t="s">
        <v>30</v>
      </c>
      <c r="L992" t="s">
        <v>25</v>
      </c>
    </row>
    <row r="993" spans="1:12" x14ac:dyDescent="0.35">
      <c r="A993">
        <v>992</v>
      </c>
      <c r="B993" t="s">
        <v>1009</v>
      </c>
      <c r="C993">
        <v>23</v>
      </c>
      <c r="D993" t="s">
        <v>19</v>
      </c>
      <c r="E993" t="s">
        <v>20</v>
      </c>
      <c r="F993">
        <v>4311</v>
      </c>
      <c r="G993" s="1">
        <v>43694</v>
      </c>
      <c r="I993">
        <v>10</v>
      </c>
      <c r="J993" t="s">
        <v>21</v>
      </c>
      <c r="K993" t="s">
        <v>22</v>
      </c>
      <c r="L993" t="s">
        <v>23</v>
      </c>
    </row>
    <row r="994" spans="1:12" x14ac:dyDescent="0.35">
      <c r="A994">
        <v>993</v>
      </c>
      <c r="B994" t="s">
        <v>1010</v>
      </c>
      <c r="C994">
        <v>25</v>
      </c>
      <c r="D994" t="s">
        <v>19</v>
      </c>
      <c r="E994" t="s">
        <v>20</v>
      </c>
      <c r="F994">
        <v>5524</v>
      </c>
      <c r="G994" s="1">
        <v>44889</v>
      </c>
      <c r="I994">
        <v>8</v>
      </c>
      <c r="J994" t="s">
        <v>21</v>
      </c>
      <c r="K994" t="s">
        <v>16</v>
      </c>
      <c r="L994" t="s">
        <v>25</v>
      </c>
    </row>
    <row r="995" spans="1:12" x14ac:dyDescent="0.35">
      <c r="A995">
        <v>994</v>
      </c>
      <c r="B995" t="s">
        <v>1011</v>
      </c>
      <c r="C995">
        <v>31</v>
      </c>
      <c r="D995" t="s">
        <v>13</v>
      </c>
      <c r="E995" t="s">
        <v>14</v>
      </c>
      <c r="F995">
        <v>3371</v>
      </c>
      <c r="G995" s="1">
        <v>43368</v>
      </c>
      <c r="H995">
        <v>5</v>
      </c>
      <c r="I995">
        <v>12</v>
      </c>
      <c r="J995" t="s">
        <v>21</v>
      </c>
      <c r="K995" t="s">
        <v>30</v>
      </c>
      <c r="L995" t="s">
        <v>17</v>
      </c>
    </row>
    <row r="996" spans="1:12" x14ac:dyDescent="0.35">
      <c r="A996">
        <v>995</v>
      </c>
      <c r="B996" t="s">
        <v>1012</v>
      </c>
      <c r="C996">
        <v>22</v>
      </c>
      <c r="D996" t="s">
        <v>35</v>
      </c>
      <c r="E996" t="s">
        <v>27</v>
      </c>
      <c r="F996">
        <v>3096</v>
      </c>
      <c r="G996" s="1">
        <v>43400</v>
      </c>
      <c r="H996">
        <v>2</v>
      </c>
      <c r="I996">
        <v>7</v>
      </c>
      <c r="J996" t="s">
        <v>21</v>
      </c>
      <c r="K996" t="s">
        <v>30</v>
      </c>
      <c r="L996" t="s">
        <v>23</v>
      </c>
    </row>
    <row r="997" spans="1:12" x14ac:dyDescent="0.35">
      <c r="A997">
        <v>996</v>
      </c>
      <c r="B997" t="s">
        <v>1013</v>
      </c>
      <c r="C997">
        <v>49</v>
      </c>
      <c r="D997" t="s">
        <v>13</v>
      </c>
      <c r="E997" t="s">
        <v>20</v>
      </c>
      <c r="F997">
        <v>7652</v>
      </c>
      <c r="G997" s="1">
        <v>45466</v>
      </c>
      <c r="H997">
        <v>4</v>
      </c>
      <c r="I997">
        <v>3</v>
      </c>
      <c r="J997" t="s">
        <v>15</v>
      </c>
      <c r="K997" t="s">
        <v>22</v>
      </c>
      <c r="L997" t="s">
        <v>23</v>
      </c>
    </row>
    <row r="998" spans="1:12" x14ac:dyDescent="0.35">
      <c r="A998">
        <v>997</v>
      </c>
      <c r="B998" t="s">
        <v>1014</v>
      </c>
      <c r="C998">
        <v>29</v>
      </c>
      <c r="D998" t="s">
        <v>13</v>
      </c>
      <c r="E998" t="s">
        <v>20</v>
      </c>
      <c r="F998">
        <v>6754</v>
      </c>
      <c r="G998" s="1">
        <v>43301</v>
      </c>
      <c r="I998">
        <v>12</v>
      </c>
      <c r="J998" t="s">
        <v>21</v>
      </c>
      <c r="K998" t="s">
        <v>16</v>
      </c>
      <c r="L998" t="s">
        <v>25</v>
      </c>
    </row>
    <row r="999" spans="1:12" x14ac:dyDescent="0.35">
      <c r="A999">
        <v>998</v>
      </c>
      <c r="B999" t="s">
        <v>1015</v>
      </c>
      <c r="C999">
        <v>18</v>
      </c>
      <c r="D999" t="s">
        <v>35</v>
      </c>
      <c r="E999" t="s">
        <v>20</v>
      </c>
      <c r="F999">
        <v>5278</v>
      </c>
      <c r="G999" s="1">
        <v>45112</v>
      </c>
      <c r="H999">
        <v>5</v>
      </c>
      <c r="I999">
        <v>3</v>
      </c>
      <c r="J999" t="s">
        <v>15</v>
      </c>
      <c r="K999" t="s">
        <v>16</v>
      </c>
      <c r="L999" t="s">
        <v>25</v>
      </c>
    </row>
    <row r="1000" spans="1:12" x14ac:dyDescent="0.35">
      <c r="A1000">
        <v>999</v>
      </c>
      <c r="B1000" t="s">
        <v>1016</v>
      </c>
      <c r="C1000">
        <v>51</v>
      </c>
      <c r="D1000" t="s">
        <v>13</v>
      </c>
      <c r="E1000" t="s">
        <v>27</v>
      </c>
      <c r="F1000">
        <v>5437</v>
      </c>
      <c r="G1000" s="1">
        <v>44610</v>
      </c>
      <c r="H1000">
        <v>4</v>
      </c>
      <c r="I1000">
        <v>9</v>
      </c>
      <c r="J1000" t="s">
        <v>21</v>
      </c>
      <c r="K1000" t="s">
        <v>22</v>
      </c>
      <c r="L1000" t="s">
        <v>23</v>
      </c>
    </row>
    <row r="1001" spans="1:12" x14ac:dyDescent="0.35">
      <c r="A1001">
        <v>1000</v>
      </c>
      <c r="B1001" t="s">
        <v>1017</v>
      </c>
      <c r="C1001">
        <v>45</v>
      </c>
      <c r="D1001" t="s">
        <v>35</v>
      </c>
      <c r="E1001" t="s">
        <v>27</v>
      </c>
      <c r="F1001">
        <v>7364</v>
      </c>
      <c r="G1001" s="1">
        <v>44773</v>
      </c>
      <c r="H1001">
        <v>2</v>
      </c>
      <c r="I1001">
        <v>4</v>
      </c>
      <c r="J1001" t="s">
        <v>15</v>
      </c>
      <c r="K1001" t="s">
        <v>16</v>
      </c>
      <c r="L1001" t="s">
        <v>25</v>
      </c>
    </row>
  </sheetData>
  <autoFilter ref="A1:L1001" xr:uid="{A84AE86D-5174-4E4C-9DB4-98E8EB6377F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3D99E-51AF-4B7E-A36B-774CE574C4FA}">
  <sheetPr codeName="Sheet2"/>
  <dimension ref="A1:O346"/>
  <sheetViews>
    <sheetView topLeftCell="E324" workbookViewId="0">
      <selection activeCell="L3" sqref="L3"/>
    </sheetView>
  </sheetViews>
  <sheetFormatPr defaultColWidth="14.26953125" defaultRowHeight="14.5" x14ac:dyDescent="0.35"/>
  <sheetData>
    <row r="1" spans="1:15" x14ac:dyDescent="0.35">
      <c r="A1" t="s">
        <v>0</v>
      </c>
      <c r="B1" t="s">
        <v>1</v>
      </c>
      <c r="C1" t="s">
        <v>2</v>
      </c>
      <c r="D1" t="s">
        <v>1020</v>
      </c>
      <c r="E1" t="s">
        <v>3</v>
      </c>
      <c r="F1" t="s">
        <v>4</v>
      </c>
      <c r="G1" t="s">
        <v>5</v>
      </c>
      <c r="H1" t="s">
        <v>1019</v>
      </c>
      <c r="I1" t="s">
        <v>6</v>
      </c>
      <c r="J1" t="s">
        <v>7</v>
      </c>
      <c r="K1" t="s">
        <v>8</v>
      </c>
      <c r="L1" t="s">
        <v>1018</v>
      </c>
      <c r="M1" t="s">
        <v>9</v>
      </c>
      <c r="N1" t="s">
        <v>10</v>
      </c>
      <c r="O1" t="s">
        <v>11</v>
      </c>
    </row>
    <row r="2" spans="1:15" x14ac:dyDescent="0.35">
      <c r="A2">
        <v>1</v>
      </c>
      <c r="B2" t="s">
        <v>12</v>
      </c>
      <c r="C2">
        <v>48</v>
      </c>
      <c r="D2" t="str">
        <f>IF(C:C&gt;=55,"Seniors",IF(C:C&gt;=45,"Mature Adults",IF(C:C&gt;=35,"Mid Adults",IF(C:C&gt;=25,"Early Adults",IF(C:C&gt;=18,"Young Adults")))))</f>
        <v>Mature Adults</v>
      </c>
      <c r="E2" t="s">
        <v>13</v>
      </c>
      <c r="F2" t="s">
        <v>14</v>
      </c>
      <c r="G2">
        <v>5641</v>
      </c>
      <c r="H2" t="str">
        <f>IF(G:G&gt;=8000,"8000 - 10,000",IF(G:G&gt;=6000,"6000 - 8000",IF(G:G&gt;=4000,"4000 - 6000",IF(G:G&gt;=2000,"2000 - 4000"))))</f>
        <v>4000 - 6000</v>
      </c>
      <c r="I2" s="1">
        <v>42127</v>
      </c>
      <c r="J2">
        <v>2</v>
      </c>
      <c r="K2">
        <v>16</v>
      </c>
      <c r="L2" t="str">
        <f>IF(K:K&gt;=12,"Manager",IF(K:K&gt;=8,"Consultant",IF(K:K&gt;=5,"Senior Level",IF(K:K&gt;=3,"Mid-Level",IF(K:K&gt;=1,"Junior")))))</f>
        <v>Manager</v>
      </c>
      <c r="M2" t="s">
        <v>15</v>
      </c>
      <c r="N2" t="s">
        <v>16</v>
      </c>
      <c r="O2" t="s">
        <v>17</v>
      </c>
    </row>
    <row r="3" spans="1:15" x14ac:dyDescent="0.35">
      <c r="A3">
        <v>6</v>
      </c>
      <c r="B3" t="s">
        <v>29</v>
      </c>
      <c r="C3">
        <v>29</v>
      </c>
      <c r="D3" t="str">
        <f t="shared" ref="D3:D66" si="0">IF(C:C&gt;=55,"Seniors",IF(C:C&gt;=45,"Mature Adults",IF(C:C&gt;=35,"Mid Adults",IF(C:C&gt;=25,"Early Adults",IF(C:C&gt;=18,"Young Adults")))))</f>
        <v>Early Adults</v>
      </c>
      <c r="E3" t="s">
        <v>13</v>
      </c>
      <c r="F3" t="s">
        <v>14</v>
      </c>
      <c r="G3">
        <v>2591</v>
      </c>
      <c r="H3" t="str">
        <f t="shared" ref="H3:H66" si="1">IF(G:G&gt;=8000,"8000 - 10,000",IF(G:G&gt;=6000,"6000 - 8000",IF(G:G&gt;=4000,"4000 - 6000",IF(G:G&gt;=2000,"2000 - 4000"))))</f>
        <v>2000 - 4000</v>
      </c>
      <c r="I3" s="1">
        <v>42545</v>
      </c>
      <c r="J3">
        <v>1</v>
      </c>
      <c r="K3">
        <v>6</v>
      </c>
      <c r="L3" t="str">
        <f t="shared" ref="L3:L66" si="2">IF(K:K&gt;=12,"Manager",IF(K:K&gt;=8,"Consultant",IF(K:K&gt;=5,"Senior Level",IF(K:K&gt;=3,"Mid-Level",IF(K:K&gt;=1,"Junior")))))</f>
        <v>Senior Level</v>
      </c>
      <c r="M3" t="s">
        <v>15</v>
      </c>
      <c r="N3" t="s">
        <v>30</v>
      </c>
      <c r="O3" t="s">
        <v>23</v>
      </c>
    </row>
    <row r="4" spans="1:15" x14ac:dyDescent="0.35">
      <c r="A4">
        <v>7</v>
      </c>
      <c r="B4" t="s">
        <v>31</v>
      </c>
      <c r="C4">
        <v>39</v>
      </c>
      <c r="D4" t="str">
        <f t="shared" si="0"/>
        <v>Mid Adults</v>
      </c>
      <c r="E4" t="s">
        <v>13</v>
      </c>
      <c r="F4" t="s">
        <v>20</v>
      </c>
      <c r="G4">
        <v>6826</v>
      </c>
      <c r="H4" t="str">
        <f t="shared" si="1"/>
        <v>6000 - 8000</v>
      </c>
      <c r="I4" s="1">
        <v>45057</v>
      </c>
      <c r="J4">
        <v>0</v>
      </c>
      <c r="K4">
        <v>4</v>
      </c>
      <c r="L4" t="str">
        <f t="shared" si="2"/>
        <v>Mid-Level</v>
      </c>
      <c r="M4" t="s">
        <v>15</v>
      </c>
      <c r="N4" t="s">
        <v>16</v>
      </c>
      <c r="O4" t="s">
        <v>17</v>
      </c>
    </row>
    <row r="5" spans="1:15" x14ac:dyDescent="0.35">
      <c r="A5">
        <v>10</v>
      </c>
      <c r="B5" t="s">
        <v>34</v>
      </c>
      <c r="C5">
        <v>30</v>
      </c>
      <c r="D5" t="str">
        <f t="shared" si="0"/>
        <v>Early Adults</v>
      </c>
      <c r="E5" t="s">
        <v>35</v>
      </c>
      <c r="F5" t="s">
        <v>27</v>
      </c>
      <c r="G5">
        <v>8202</v>
      </c>
      <c r="H5" t="str">
        <f t="shared" si="1"/>
        <v>8000 - 10,000</v>
      </c>
      <c r="I5" s="1">
        <v>43246</v>
      </c>
      <c r="J5">
        <v>1</v>
      </c>
      <c r="K5">
        <v>9</v>
      </c>
      <c r="L5" t="str">
        <f t="shared" si="2"/>
        <v>Consultant</v>
      </c>
      <c r="M5" t="s">
        <v>15</v>
      </c>
      <c r="N5" t="s">
        <v>22</v>
      </c>
      <c r="O5" t="s">
        <v>25</v>
      </c>
    </row>
    <row r="6" spans="1:15" x14ac:dyDescent="0.35">
      <c r="A6">
        <v>11</v>
      </c>
      <c r="B6" t="s">
        <v>36</v>
      </c>
      <c r="C6">
        <v>42</v>
      </c>
      <c r="D6" t="str">
        <f t="shared" si="0"/>
        <v>Mid Adults</v>
      </c>
      <c r="E6" t="s">
        <v>13</v>
      </c>
      <c r="F6" t="s">
        <v>20</v>
      </c>
      <c r="G6">
        <v>5336</v>
      </c>
      <c r="H6" t="str">
        <f t="shared" si="1"/>
        <v>4000 - 6000</v>
      </c>
      <c r="I6" s="1">
        <v>42032</v>
      </c>
      <c r="J6">
        <v>3</v>
      </c>
      <c r="K6">
        <v>7</v>
      </c>
      <c r="L6" t="str">
        <f t="shared" si="2"/>
        <v>Senior Level</v>
      </c>
      <c r="M6" t="s">
        <v>15</v>
      </c>
      <c r="N6" t="s">
        <v>22</v>
      </c>
      <c r="O6" t="s">
        <v>23</v>
      </c>
    </row>
    <row r="7" spans="1:15" x14ac:dyDescent="0.35">
      <c r="A7">
        <v>18</v>
      </c>
      <c r="B7" t="s">
        <v>43</v>
      </c>
      <c r="C7">
        <v>31</v>
      </c>
      <c r="D7" t="str">
        <f t="shared" si="0"/>
        <v>Early Adults</v>
      </c>
      <c r="E7" t="s">
        <v>13</v>
      </c>
      <c r="F7" t="s">
        <v>14</v>
      </c>
      <c r="G7">
        <v>3519</v>
      </c>
      <c r="H7" t="str">
        <f t="shared" si="1"/>
        <v>2000 - 4000</v>
      </c>
      <c r="I7" s="1">
        <v>43238</v>
      </c>
      <c r="J7">
        <v>4</v>
      </c>
      <c r="K7">
        <v>6</v>
      </c>
      <c r="L7" t="str">
        <f t="shared" si="2"/>
        <v>Senior Level</v>
      </c>
      <c r="M7" t="s">
        <v>15</v>
      </c>
      <c r="N7" t="s">
        <v>16</v>
      </c>
      <c r="O7" t="s">
        <v>25</v>
      </c>
    </row>
    <row r="8" spans="1:15" x14ac:dyDescent="0.35">
      <c r="A8">
        <v>20</v>
      </c>
      <c r="B8" t="s">
        <v>45</v>
      </c>
      <c r="C8">
        <v>57</v>
      </c>
      <c r="D8" t="str">
        <f t="shared" si="0"/>
        <v>Seniors</v>
      </c>
      <c r="E8" t="s">
        <v>13</v>
      </c>
      <c r="F8" t="s">
        <v>14</v>
      </c>
      <c r="G8">
        <v>7251</v>
      </c>
      <c r="H8" t="str">
        <f t="shared" si="1"/>
        <v>6000 - 8000</v>
      </c>
      <c r="I8" s="1">
        <v>45084</v>
      </c>
      <c r="J8">
        <v>0</v>
      </c>
      <c r="K8">
        <v>10</v>
      </c>
      <c r="L8" t="str">
        <f t="shared" si="2"/>
        <v>Consultant</v>
      </c>
      <c r="M8" t="s">
        <v>15</v>
      </c>
      <c r="N8" t="s">
        <v>22</v>
      </c>
      <c r="O8" t="s">
        <v>23</v>
      </c>
    </row>
    <row r="9" spans="1:15" x14ac:dyDescent="0.35">
      <c r="A9">
        <v>21</v>
      </c>
      <c r="B9" t="s">
        <v>46</v>
      </c>
      <c r="C9">
        <v>35</v>
      </c>
      <c r="D9" t="str">
        <f t="shared" si="0"/>
        <v>Mid Adults</v>
      </c>
      <c r="E9" t="s">
        <v>35</v>
      </c>
      <c r="F9" t="s">
        <v>20</v>
      </c>
      <c r="G9">
        <v>4565</v>
      </c>
      <c r="H9" t="str">
        <f t="shared" si="1"/>
        <v>4000 - 6000</v>
      </c>
      <c r="I9" s="1">
        <v>43138</v>
      </c>
      <c r="J9">
        <v>0</v>
      </c>
      <c r="K9">
        <v>9</v>
      </c>
      <c r="L9" t="str">
        <f t="shared" si="2"/>
        <v>Consultant</v>
      </c>
      <c r="M9" t="s">
        <v>15</v>
      </c>
      <c r="N9" t="s">
        <v>30</v>
      </c>
      <c r="O9" t="s">
        <v>17</v>
      </c>
    </row>
    <row r="10" spans="1:15" x14ac:dyDescent="0.35">
      <c r="A10">
        <v>24</v>
      </c>
      <c r="B10" t="s">
        <v>49</v>
      </c>
      <c r="C10">
        <v>31</v>
      </c>
      <c r="D10" t="str">
        <f t="shared" si="0"/>
        <v>Early Adults</v>
      </c>
      <c r="E10" t="s">
        <v>13</v>
      </c>
      <c r="F10" t="s">
        <v>14</v>
      </c>
      <c r="G10">
        <v>5386</v>
      </c>
      <c r="H10" t="str">
        <f t="shared" si="1"/>
        <v>4000 - 6000</v>
      </c>
      <c r="I10" s="1">
        <v>44226</v>
      </c>
      <c r="J10">
        <v>0</v>
      </c>
      <c r="K10">
        <v>3</v>
      </c>
      <c r="L10" t="str">
        <f t="shared" si="2"/>
        <v>Mid-Level</v>
      </c>
      <c r="M10" t="s">
        <v>15</v>
      </c>
      <c r="N10" t="s">
        <v>22</v>
      </c>
      <c r="O10" t="s">
        <v>23</v>
      </c>
    </row>
    <row r="11" spans="1:15" x14ac:dyDescent="0.35">
      <c r="A11">
        <v>25</v>
      </c>
      <c r="B11" t="s">
        <v>50</v>
      </c>
      <c r="C11">
        <v>21</v>
      </c>
      <c r="D11" t="str">
        <f t="shared" si="0"/>
        <v>Young Adults</v>
      </c>
      <c r="E11" t="s">
        <v>35</v>
      </c>
      <c r="F11" t="s">
        <v>14</v>
      </c>
      <c r="G11">
        <v>9275</v>
      </c>
      <c r="H11" t="str">
        <f t="shared" si="1"/>
        <v>8000 - 10,000</v>
      </c>
      <c r="I11" s="1">
        <v>44660</v>
      </c>
      <c r="J11">
        <v>4</v>
      </c>
      <c r="K11">
        <v>12</v>
      </c>
      <c r="L11" t="str">
        <f t="shared" si="2"/>
        <v>Manager</v>
      </c>
      <c r="M11" t="s">
        <v>15</v>
      </c>
      <c r="N11" t="s">
        <v>16</v>
      </c>
      <c r="O11" t="s">
        <v>25</v>
      </c>
    </row>
    <row r="12" spans="1:15" x14ac:dyDescent="0.35">
      <c r="A12">
        <v>34</v>
      </c>
      <c r="B12" t="s">
        <v>59</v>
      </c>
      <c r="C12">
        <v>42</v>
      </c>
      <c r="D12" t="str">
        <f t="shared" si="0"/>
        <v>Mid Adults</v>
      </c>
      <c r="E12" t="s">
        <v>13</v>
      </c>
      <c r="F12" t="s">
        <v>27</v>
      </c>
      <c r="G12">
        <v>5207</v>
      </c>
      <c r="H12" t="str">
        <f t="shared" si="1"/>
        <v>4000 - 6000</v>
      </c>
      <c r="I12" s="1">
        <v>42964</v>
      </c>
      <c r="J12">
        <v>1</v>
      </c>
      <c r="K12">
        <v>4</v>
      </c>
      <c r="L12" t="str">
        <f t="shared" si="2"/>
        <v>Mid-Level</v>
      </c>
      <c r="M12" t="s">
        <v>15</v>
      </c>
      <c r="N12" t="s">
        <v>22</v>
      </c>
      <c r="O12" t="s">
        <v>17</v>
      </c>
    </row>
    <row r="13" spans="1:15" x14ac:dyDescent="0.35">
      <c r="A13">
        <v>37</v>
      </c>
      <c r="B13" t="s">
        <v>62</v>
      </c>
      <c r="C13">
        <v>39</v>
      </c>
      <c r="D13" t="str">
        <f t="shared" si="0"/>
        <v>Mid Adults</v>
      </c>
      <c r="E13" t="s">
        <v>35</v>
      </c>
      <c r="F13" t="s">
        <v>20</v>
      </c>
      <c r="G13">
        <v>2364</v>
      </c>
      <c r="H13" t="str">
        <f t="shared" si="1"/>
        <v>2000 - 4000</v>
      </c>
      <c r="I13" s="1">
        <v>43156</v>
      </c>
      <c r="J13">
        <v>1</v>
      </c>
      <c r="K13">
        <v>15</v>
      </c>
      <c r="L13" t="str">
        <f t="shared" si="2"/>
        <v>Manager</v>
      </c>
      <c r="M13" t="s">
        <v>15</v>
      </c>
      <c r="N13" t="s">
        <v>22</v>
      </c>
      <c r="O13" t="s">
        <v>23</v>
      </c>
    </row>
    <row r="14" spans="1:15" x14ac:dyDescent="0.35">
      <c r="A14">
        <v>40</v>
      </c>
      <c r="B14" t="s">
        <v>65</v>
      </c>
      <c r="C14">
        <v>36</v>
      </c>
      <c r="D14" t="str">
        <f t="shared" si="0"/>
        <v>Mid Adults</v>
      </c>
      <c r="E14" t="s">
        <v>35</v>
      </c>
      <c r="F14" t="s">
        <v>14</v>
      </c>
      <c r="G14">
        <v>8870</v>
      </c>
      <c r="H14" t="str">
        <f t="shared" si="1"/>
        <v>8000 - 10,000</v>
      </c>
      <c r="I14" s="1">
        <v>45516</v>
      </c>
      <c r="J14">
        <v>4</v>
      </c>
      <c r="K14">
        <v>17</v>
      </c>
      <c r="L14" t="str">
        <f t="shared" si="2"/>
        <v>Manager</v>
      </c>
      <c r="M14" t="s">
        <v>15</v>
      </c>
      <c r="N14" t="s">
        <v>22</v>
      </c>
      <c r="O14" t="s">
        <v>23</v>
      </c>
    </row>
    <row r="15" spans="1:15" x14ac:dyDescent="0.35">
      <c r="A15">
        <v>44</v>
      </c>
      <c r="B15" t="s">
        <v>69</v>
      </c>
      <c r="C15">
        <v>64</v>
      </c>
      <c r="D15" t="str">
        <f t="shared" si="0"/>
        <v>Seniors</v>
      </c>
      <c r="E15" t="s">
        <v>13</v>
      </c>
      <c r="F15" t="s">
        <v>27</v>
      </c>
      <c r="G15">
        <v>2427</v>
      </c>
      <c r="H15" t="str">
        <f t="shared" si="1"/>
        <v>2000 - 4000</v>
      </c>
      <c r="I15" s="1">
        <v>41992</v>
      </c>
      <c r="J15">
        <v>0</v>
      </c>
      <c r="K15">
        <v>6</v>
      </c>
      <c r="L15" t="str">
        <f t="shared" si="2"/>
        <v>Senior Level</v>
      </c>
      <c r="M15" t="s">
        <v>15</v>
      </c>
      <c r="N15" t="s">
        <v>16</v>
      </c>
      <c r="O15" t="s">
        <v>17</v>
      </c>
    </row>
    <row r="16" spans="1:15" x14ac:dyDescent="0.35">
      <c r="A16">
        <v>49</v>
      </c>
      <c r="B16" t="s">
        <v>74</v>
      </c>
      <c r="C16">
        <v>46</v>
      </c>
      <c r="D16" t="str">
        <f t="shared" si="0"/>
        <v>Mature Adults</v>
      </c>
      <c r="E16" t="s">
        <v>35</v>
      </c>
      <c r="F16" t="s">
        <v>20</v>
      </c>
      <c r="G16">
        <v>2773</v>
      </c>
      <c r="H16" t="str">
        <f t="shared" si="1"/>
        <v>2000 - 4000</v>
      </c>
      <c r="I16" s="1">
        <v>44982</v>
      </c>
      <c r="J16">
        <v>4</v>
      </c>
      <c r="K16">
        <v>9</v>
      </c>
      <c r="L16" t="str">
        <f t="shared" si="2"/>
        <v>Consultant</v>
      </c>
      <c r="M16" t="s">
        <v>15</v>
      </c>
      <c r="N16" t="s">
        <v>16</v>
      </c>
      <c r="O16" t="s">
        <v>25</v>
      </c>
    </row>
    <row r="17" spans="1:15" x14ac:dyDescent="0.35">
      <c r="A17">
        <v>50</v>
      </c>
      <c r="B17" t="s">
        <v>75</v>
      </c>
      <c r="C17">
        <v>23</v>
      </c>
      <c r="D17" t="str">
        <f t="shared" si="0"/>
        <v>Young Adults</v>
      </c>
      <c r="E17" t="s">
        <v>35</v>
      </c>
      <c r="F17" t="s">
        <v>14</v>
      </c>
      <c r="G17">
        <v>6253</v>
      </c>
      <c r="H17" t="str">
        <f t="shared" si="1"/>
        <v>6000 - 8000</v>
      </c>
      <c r="I17" s="1">
        <v>45190</v>
      </c>
      <c r="J17">
        <v>4</v>
      </c>
      <c r="K17">
        <v>14</v>
      </c>
      <c r="L17" t="str">
        <f t="shared" si="2"/>
        <v>Manager</v>
      </c>
      <c r="M17" t="s">
        <v>15</v>
      </c>
      <c r="N17" t="s">
        <v>22</v>
      </c>
      <c r="O17" t="s">
        <v>17</v>
      </c>
    </row>
    <row r="18" spans="1:15" x14ac:dyDescent="0.35">
      <c r="A18">
        <v>58</v>
      </c>
      <c r="B18" t="s">
        <v>83</v>
      </c>
      <c r="C18">
        <v>58</v>
      </c>
      <c r="D18" t="str">
        <f t="shared" si="0"/>
        <v>Seniors</v>
      </c>
      <c r="E18" t="s">
        <v>13</v>
      </c>
      <c r="F18" t="s">
        <v>20</v>
      </c>
      <c r="G18">
        <v>3635</v>
      </c>
      <c r="H18" t="str">
        <f t="shared" si="1"/>
        <v>2000 - 4000</v>
      </c>
      <c r="I18" s="1">
        <v>44295</v>
      </c>
      <c r="J18">
        <v>0</v>
      </c>
      <c r="K18">
        <v>7</v>
      </c>
      <c r="L18" t="str">
        <f t="shared" si="2"/>
        <v>Senior Level</v>
      </c>
      <c r="M18" t="s">
        <v>15</v>
      </c>
      <c r="N18" t="s">
        <v>16</v>
      </c>
      <c r="O18" t="s">
        <v>17</v>
      </c>
    </row>
    <row r="19" spans="1:15" x14ac:dyDescent="0.35">
      <c r="A19">
        <v>59</v>
      </c>
      <c r="B19" t="s">
        <v>84</v>
      </c>
      <c r="C19">
        <v>57</v>
      </c>
      <c r="D19" t="str">
        <f t="shared" si="0"/>
        <v>Seniors</v>
      </c>
      <c r="E19" t="s">
        <v>35</v>
      </c>
      <c r="F19" t="s">
        <v>20</v>
      </c>
      <c r="G19">
        <v>4651</v>
      </c>
      <c r="H19" t="str">
        <f t="shared" si="1"/>
        <v>4000 - 6000</v>
      </c>
      <c r="I19" s="1">
        <v>43138</v>
      </c>
      <c r="J19">
        <v>0</v>
      </c>
      <c r="K19">
        <v>19</v>
      </c>
      <c r="L19" t="str">
        <f t="shared" si="2"/>
        <v>Manager</v>
      </c>
      <c r="M19" t="s">
        <v>15</v>
      </c>
      <c r="N19" t="s">
        <v>22</v>
      </c>
      <c r="O19" t="s">
        <v>17</v>
      </c>
    </row>
    <row r="20" spans="1:15" x14ac:dyDescent="0.35">
      <c r="A20">
        <v>62</v>
      </c>
      <c r="B20" t="s">
        <v>87</v>
      </c>
      <c r="C20">
        <v>33</v>
      </c>
      <c r="D20" t="str">
        <f t="shared" si="0"/>
        <v>Early Adults</v>
      </c>
      <c r="E20" t="s">
        <v>35</v>
      </c>
      <c r="F20" t="s">
        <v>20</v>
      </c>
      <c r="G20">
        <v>2851</v>
      </c>
      <c r="H20" t="str">
        <f t="shared" si="1"/>
        <v>2000 - 4000</v>
      </c>
      <c r="I20" s="1">
        <v>44956</v>
      </c>
      <c r="J20">
        <v>2</v>
      </c>
      <c r="K20">
        <v>11</v>
      </c>
      <c r="L20" t="str">
        <f t="shared" si="2"/>
        <v>Consultant</v>
      </c>
      <c r="M20" t="s">
        <v>15</v>
      </c>
      <c r="N20" t="s">
        <v>30</v>
      </c>
      <c r="O20" t="s">
        <v>25</v>
      </c>
    </row>
    <row r="21" spans="1:15" x14ac:dyDescent="0.35">
      <c r="A21">
        <v>63</v>
      </c>
      <c r="B21" t="s">
        <v>88</v>
      </c>
      <c r="C21">
        <v>57</v>
      </c>
      <c r="D21" t="str">
        <f t="shared" si="0"/>
        <v>Seniors</v>
      </c>
      <c r="E21" t="s">
        <v>13</v>
      </c>
      <c r="F21" t="s">
        <v>27</v>
      </c>
      <c r="G21">
        <v>3933</v>
      </c>
      <c r="H21" t="str">
        <f t="shared" si="1"/>
        <v>2000 - 4000</v>
      </c>
      <c r="I21" s="1">
        <v>45079</v>
      </c>
      <c r="J21">
        <v>0</v>
      </c>
      <c r="K21">
        <v>6</v>
      </c>
      <c r="L21" t="str">
        <f t="shared" si="2"/>
        <v>Senior Level</v>
      </c>
      <c r="M21" t="s">
        <v>15</v>
      </c>
      <c r="N21" t="s">
        <v>22</v>
      </c>
      <c r="O21" t="s">
        <v>17</v>
      </c>
    </row>
    <row r="22" spans="1:15" x14ac:dyDescent="0.35">
      <c r="A22">
        <v>64</v>
      </c>
      <c r="B22" t="s">
        <v>89</v>
      </c>
      <c r="C22">
        <v>39</v>
      </c>
      <c r="D22" t="str">
        <f t="shared" si="0"/>
        <v>Mid Adults</v>
      </c>
      <c r="E22" t="s">
        <v>13</v>
      </c>
      <c r="F22" t="s">
        <v>27</v>
      </c>
      <c r="G22">
        <v>2585</v>
      </c>
      <c r="H22" t="str">
        <f t="shared" si="1"/>
        <v>2000 - 4000</v>
      </c>
      <c r="I22" s="1">
        <v>44974</v>
      </c>
      <c r="J22">
        <v>2</v>
      </c>
      <c r="K22">
        <v>1</v>
      </c>
      <c r="L22" t="str">
        <f t="shared" si="2"/>
        <v>Junior</v>
      </c>
      <c r="M22" t="s">
        <v>15</v>
      </c>
      <c r="N22" t="s">
        <v>22</v>
      </c>
      <c r="O22" t="s">
        <v>23</v>
      </c>
    </row>
    <row r="23" spans="1:15" x14ac:dyDescent="0.35">
      <c r="A23">
        <v>67</v>
      </c>
      <c r="B23" t="s">
        <v>92</v>
      </c>
      <c r="C23">
        <v>25</v>
      </c>
      <c r="D23" t="str">
        <f t="shared" si="0"/>
        <v>Early Adults</v>
      </c>
      <c r="E23" t="s">
        <v>13</v>
      </c>
      <c r="F23" t="s">
        <v>14</v>
      </c>
      <c r="G23">
        <v>7637</v>
      </c>
      <c r="H23" t="str">
        <f t="shared" si="1"/>
        <v>6000 - 8000</v>
      </c>
      <c r="I23" s="1">
        <v>44460</v>
      </c>
      <c r="J23">
        <v>0</v>
      </c>
      <c r="K23">
        <v>4</v>
      </c>
      <c r="L23" t="str">
        <f t="shared" si="2"/>
        <v>Mid-Level</v>
      </c>
      <c r="M23" t="s">
        <v>15</v>
      </c>
      <c r="N23" t="s">
        <v>22</v>
      </c>
      <c r="O23" t="s">
        <v>17</v>
      </c>
    </row>
    <row r="24" spans="1:15" x14ac:dyDescent="0.35">
      <c r="A24">
        <v>68</v>
      </c>
      <c r="B24" t="s">
        <v>93</v>
      </c>
      <c r="C24">
        <v>27</v>
      </c>
      <c r="D24" t="str">
        <f t="shared" si="0"/>
        <v>Early Adults</v>
      </c>
      <c r="E24" t="s">
        <v>35</v>
      </c>
      <c r="F24" t="s">
        <v>14</v>
      </c>
      <c r="G24">
        <v>6921</v>
      </c>
      <c r="H24" t="str">
        <f t="shared" si="1"/>
        <v>6000 - 8000</v>
      </c>
      <c r="I24" s="1">
        <v>45596</v>
      </c>
      <c r="J24">
        <v>2</v>
      </c>
      <c r="K24">
        <v>3</v>
      </c>
      <c r="L24" t="str">
        <f t="shared" si="2"/>
        <v>Mid-Level</v>
      </c>
      <c r="M24" t="s">
        <v>15</v>
      </c>
      <c r="N24" t="s">
        <v>30</v>
      </c>
      <c r="O24" t="s">
        <v>23</v>
      </c>
    </row>
    <row r="25" spans="1:15" x14ac:dyDescent="0.35">
      <c r="A25">
        <v>69</v>
      </c>
      <c r="B25" t="s">
        <v>94</v>
      </c>
      <c r="C25">
        <v>29</v>
      </c>
      <c r="D25" t="str">
        <f t="shared" si="0"/>
        <v>Early Adults</v>
      </c>
      <c r="E25" t="s">
        <v>35</v>
      </c>
      <c r="F25" t="s">
        <v>14</v>
      </c>
      <c r="G25">
        <v>7554</v>
      </c>
      <c r="H25" t="str">
        <f t="shared" si="1"/>
        <v>6000 - 8000</v>
      </c>
      <c r="I25" s="1">
        <v>43027</v>
      </c>
      <c r="J25">
        <v>0</v>
      </c>
      <c r="K25">
        <v>17</v>
      </c>
      <c r="L25" t="str">
        <f t="shared" si="2"/>
        <v>Manager</v>
      </c>
      <c r="M25" t="s">
        <v>15</v>
      </c>
      <c r="N25" t="s">
        <v>30</v>
      </c>
      <c r="O25" t="s">
        <v>17</v>
      </c>
    </row>
    <row r="26" spans="1:15" x14ac:dyDescent="0.35">
      <c r="A26">
        <v>71</v>
      </c>
      <c r="B26" t="s">
        <v>96</v>
      </c>
      <c r="C26">
        <v>40</v>
      </c>
      <c r="D26" t="str">
        <f t="shared" si="0"/>
        <v>Mid Adults</v>
      </c>
      <c r="E26" t="s">
        <v>35</v>
      </c>
      <c r="F26" t="s">
        <v>20</v>
      </c>
      <c r="G26">
        <v>2466</v>
      </c>
      <c r="H26" t="str">
        <f t="shared" si="1"/>
        <v>2000 - 4000</v>
      </c>
      <c r="I26" s="1">
        <v>43198</v>
      </c>
      <c r="J26">
        <v>0</v>
      </c>
      <c r="K26">
        <v>15</v>
      </c>
      <c r="L26" t="str">
        <f t="shared" si="2"/>
        <v>Manager</v>
      </c>
      <c r="M26" t="s">
        <v>15</v>
      </c>
      <c r="N26" t="s">
        <v>30</v>
      </c>
      <c r="O26" t="s">
        <v>23</v>
      </c>
    </row>
    <row r="27" spans="1:15" x14ac:dyDescent="0.35">
      <c r="A27">
        <v>72</v>
      </c>
      <c r="B27" t="s">
        <v>97</v>
      </c>
      <c r="C27">
        <v>45</v>
      </c>
      <c r="D27" t="str">
        <f t="shared" si="0"/>
        <v>Mature Adults</v>
      </c>
      <c r="E27" t="s">
        <v>13</v>
      </c>
      <c r="F27" t="s">
        <v>20</v>
      </c>
      <c r="G27">
        <v>3897</v>
      </c>
      <c r="H27" t="str">
        <f t="shared" si="1"/>
        <v>2000 - 4000</v>
      </c>
      <c r="I27" s="1">
        <v>43603</v>
      </c>
      <c r="J27">
        <v>4</v>
      </c>
      <c r="K27">
        <v>12</v>
      </c>
      <c r="L27" t="str">
        <f t="shared" si="2"/>
        <v>Manager</v>
      </c>
      <c r="M27" t="s">
        <v>15</v>
      </c>
      <c r="N27" t="s">
        <v>30</v>
      </c>
      <c r="O27" t="s">
        <v>23</v>
      </c>
    </row>
    <row r="28" spans="1:15" x14ac:dyDescent="0.35">
      <c r="A28">
        <v>73</v>
      </c>
      <c r="B28" t="s">
        <v>98</v>
      </c>
      <c r="C28">
        <v>52</v>
      </c>
      <c r="D28" t="str">
        <f t="shared" si="0"/>
        <v>Mature Adults</v>
      </c>
      <c r="E28" t="s">
        <v>35</v>
      </c>
      <c r="F28" t="s">
        <v>14</v>
      </c>
      <c r="G28">
        <v>8386</v>
      </c>
      <c r="H28" t="str">
        <f t="shared" si="1"/>
        <v>8000 - 10,000</v>
      </c>
      <c r="I28" s="1">
        <v>42466</v>
      </c>
      <c r="J28">
        <v>0</v>
      </c>
      <c r="K28">
        <v>14</v>
      </c>
      <c r="L28" t="str">
        <f t="shared" si="2"/>
        <v>Manager</v>
      </c>
      <c r="M28" t="s">
        <v>15</v>
      </c>
      <c r="N28" t="s">
        <v>30</v>
      </c>
      <c r="O28" t="s">
        <v>25</v>
      </c>
    </row>
    <row r="29" spans="1:15" x14ac:dyDescent="0.35">
      <c r="A29">
        <v>77</v>
      </c>
      <c r="B29" t="s">
        <v>102</v>
      </c>
      <c r="C29">
        <v>47</v>
      </c>
      <c r="D29" t="str">
        <f t="shared" si="0"/>
        <v>Mature Adults</v>
      </c>
      <c r="E29" t="s">
        <v>13</v>
      </c>
      <c r="F29" t="s">
        <v>20</v>
      </c>
      <c r="G29">
        <v>2025</v>
      </c>
      <c r="H29" t="str">
        <f t="shared" si="1"/>
        <v>2000 - 4000</v>
      </c>
      <c r="I29" s="1">
        <v>42138</v>
      </c>
      <c r="J29">
        <v>1</v>
      </c>
      <c r="K29">
        <v>5</v>
      </c>
      <c r="L29" t="str">
        <f t="shared" si="2"/>
        <v>Senior Level</v>
      </c>
      <c r="M29" t="s">
        <v>15</v>
      </c>
      <c r="N29" t="s">
        <v>16</v>
      </c>
      <c r="O29" t="s">
        <v>17</v>
      </c>
    </row>
    <row r="30" spans="1:15" x14ac:dyDescent="0.35">
      <c r="A30">
        <v>82</v>
      </c>
      <c r="B30" t="s">
        <v>107</v>
      </c>
      <c r="C30">
        <v>62</v>
      </c>
      <c r="D30" t="str">
        <f t="shared" si="0"/>
        <v>Seniors</v>
      </c>
      <c r="E30" t="s">
        <v>35</v>
      </c>
      <c r="F30" t="s">
        <v>14</v>
      </c>
      <c r="G30">
        <v>4292</v>
      </c>
      <c r="H30" t="str">
        <f t="shared" si="1"/>
        <v>4000 - 6000</v>
      </c>
      <c r="I30" s="1">
        <v>44147</v>
      </c>
      <c r="J30">
        <v>2</v>
      </c>
      <c r="K30">
        <v>7</v>
      </c>
      <c r="L30" t="str">
        <f t="shared" si="2"/>
        <v>Senior Level</v>
      </c>
      <c r="M30" t="s">
        <v>15</v>
      </c>
      <c r="N30" t="s">
        <v>22</v>
      </c>
      <c r="O30" t="s">
        <v>17</v>
      </c>
    </row>
    <row r="31" spans="1:15" x14ac:dyDescent="0.35">
      <c r="A31">
        <v>84</v>
      </c>
      <c r="B31" t="s">
        <v>109</v>
      </c>
      <c r="C31">
        <v>18</v>
      </c>
      <c r="D31" t="str">
        <f t="shared" si="0"/>
        <v>Young Adults</v>
      </c>
      <c r="E31" t="s">
        <v>13</v>
      </c>
      <c r="F31" t="s">
        <v>27</v>
      </c>
      <c r="G31">
        <v>5470</v>
      </c>
      <c r="H31" t="str">
        <f t="shared" si="1"/>
        <v>4000 - 6000</v>
      </c>
      <c r="I31" s="1">
        <v>42909</v>
      </c>
      <c r="J31">
        <v>3</v>
      </c>
      <c r="K31">
        <v>8</v>
      </c>
      <c r="L31" t="str">
        <f t="shared" si="2"/>
        <v>Consultant</v>
      </c>
      <c r="M31" t="s">
        <v>15</v>
      </c>
      <c r="N31" t="s">
        <v>22</v>
      </c>
      <c r="O31" t="s">
        <v>23</v>
      </c>
    </row>
    <row r="32" spans="1:15" x14ac:dyDescent="0.35">
      <c r="A32">
        <v>88</v>
      </c>
      <c r="B32" t="s">
        <v>113</v>
      </c>
      <c r="C32">
        <v>28</v>
      </c>
      <c r="D32" t="str">
        <f t="shared" si="0"/>
        <v>Early Adults</v>
      </c>
      <c r="E32" t="s">
        <v>13</v>
      </c>
      <c r="F32" t="s">
        <v>20</v>
      </c>
      <c r="G32">
        <v>6839</v>
      </c>
      <c r="H32" t="str">
        <f t="shared" si="1"/>
        <v>6000 - 8000</v>
      </c>
      <c r="I32" s="1">
        <v>44933</v>
      </c>
      <c r="J32">
        <v>0</v>
      </c>
      <c r="K32">
        <v>4</v>
      </c>
      <c r="L32" t="str">
        <f t="shared" si="2"/>
        <v>Mid-Level</v>
      </c>
      <c r="M32" t="s">
        <v>15</v>
      </c>
      <c r="N32" t="s">
        <v>22</v>
      </c>
      <c r="O32" t="s">
        <v>23</v>
      </c>
    </row>
    <row r="33" spans="1:15" x14ac:dyDescent="0.35">
      <c r="A33">
        <v>91</v>
      </c>
      <c r="B33" t="s">
        <v>116</v>
      </c>
      <c r="C33">
        <v>31</v>
      </c>
      <c r="D33" t="str">
        <f t="shared" si="0"/>
        <v>Early Adults</v>
      </c>
      <c r="E33" t="s">
        <v>35</v>
      </c>
      <c r="F33" t="s">
        <v>14</v>
      </c>
      <c r="G33">
        <v>3488</v>
      </c>
      <c r="H33" t="str">
        <f t="shared" si="1"/>
        <v>2000 - 4000</v>
      </c>
      <c r="I33" s="1">
        <v>45001</v>
      </c>
      <c r="J33">
        <v>1</v>
      </c>
      <c r="K33">
        <v>3</v>
      </c>
      <c r="L33" t="str">
        <f t="shared" si="2"/>
        <v>Mid-Level</v>
      </c>
      <c r="M33" t="s">
        <v>15</v>
      </c>
      <c r="N33" t="s">
        <v>16</v>
      </c>
      <c r="O33" t="s">
        <v>25</v>
      </c>
    </row>
    <row r="34" spans="1:15" x14ac:dyDescent="0.35">
      <c r="A34">
        <v>94</v>
      </c>
      <c r="B34" t="s">
        <v>119</v>
      </c>
      <c r="C34">
        <v>21</v>
      </c>
      <c r="D34" t="str">
        <f t="shared" si="0"/>
        <v>Young Adults</v>
      </c>
      <c r="E34" t="s">
        <v>13</v>
      </c>
      <c r="F34" t="s">
        <v>27</v>
      </c>
      <c r="G34">
        <v>2860</v>
      </c>
      <c r="H34" t="str">
        <f t="shared" si="1"/>
        <v>2000 - 4000</v>
      </c>
      <c r="I34" s="1">
        <v>44963</v>
      </c>
      <c r="J34">
        <v>4</v>
      </c>
      <c r="K34">
        <v>4</v>
      </c>
      <c r="L34" t="str">
        <f t="shared" si="2"/>
        <v>Mid-Level</v>
      </c>
      <c r="M34" t="s">
        <v>15</v>
      </c>
      <c r="N34" t="s">
        <v>22</v>
      </c>
      <c r="O34" t="s">
        <v>17</v>
      </c>
    </row>
    <row r="35" spans="1:15" x14ac:dyDescent="0.35">
      <c r="A35">
        <v>95</v>
      </c>
      <c r="B35" t="s">
        <v>120</v>
      </c>
      <c r="C35">
        <v>62</v>
      </c>
      <c r="D35" t="str">
        <f t="shared" si="0"/>
        <v>Seniors</v>
      </c>
      <c r="E35" t="s">
        <v>35</v>
      </c>
      <c r="F35" t="s">
        <v>20</v>
      </c>
      <c r="G35">
        <v>3482</v>
      </c>
      <c r="H35" t="str">
        <f t="shared" si="1"/>
        <v>2000 - 4000</v>
      </c>
      <c r="I35" s="1">
        <v>43129</v>
      </c>
      <c r="J35">
        <v>3</v>
      </c>
      <c r="K35">
        <v>20</v>
      </c>
      <c r="L35" t="str">
        <f t="shared" si="2"/>
        <v>Manager</v>
      </c>
      <c r="M35" t="s">
        <v>15</v>
      </c>
      <c r="N35" t="s">
        <v>16</v>
      </c>
      <c r="O35" t="s">
        <v>17</v>
      </c>
    </row>
    <row r="36" spans="1:15" x14ac:dyDescent="0.35">
      <c r="A36">
        <v>101</v>
      </c>
      <c r="B36" t="s">
        <v>126</v>
      </c>
      <c r="C36">
        <v>26</v>
      </c>
      <c r="D36" t="str">
        <f t="shared" si="0"/>
        <v>Early Adults</v>
      </c>
      <c r="E36" t="s">
        <v>13</v>
      </c>
      <c r="F36" t="s">
        <v>27</v>
      </c>
      <c r="G36">
        <v>9538</v>
      </c>
      <c r="H36" t="str">
        <f t="shared" si="1"/>
        <v>8000 - 10,000</v>
      </c>
      <c r="I36" s="1">
        <v>44219</v>
      </c>
      <c r="J36">
        <v>0</v>
      </c>
      <c r="K36">
        <v>3</v>
      </c>
      <c r="L36" t="str">
        <f t="shared" si="2"/>
        <v>Mid-Level</v>
      </c>
      <c r="M36" t="s">
        <v>15</v>
      </c>
      <c r="N36" t="s">
        <v>16</v>
      </c>
      <c r="O36" t="s">
        <v>25</v>
      </c>
    </row>
    <row r="37" spans="1:15" x14ac:dyDescent="0.35">
      <c r="A37">
        <v>104</v>
      </c>
      <c r="B37" t="s">
        <v>129</v>
      </c>
      <c r="C37">
        <v>32</v>
      </c>
      <c r="D37" t="str">
        <f t="shared" si="0"/>
        <v>Early Adults</v>
      </c>
      <c r="E37" t="s">
        <v>35</v>
      </c>
      <c r="F37" t="s">
        <v>14</v>
      </c>
      <c r="G37">
        <v>6458</v>
      </c>
      <c r="H37" t="str">
        <f t="shared" si="1"/>
        <v>6000 - 8000</v>
      </c>
      <c r="I37" s="1">
        <v>45010</v>
      </c>
      <c r="J37">
        <v>5</v>
      </c>
      <c r="K37">
        <v>7</v>
      </c>
      <c r="L37" t="str">
        <f t="shared" si="2"/>
        <v>Senior Level</v>
      </c>
      <c r="M37" t="s">
        <v>15</v>
      </c>
      <c r="N37" t="s">
        <v>30</v>
      </c>
      <c r="O37" t="s">
        <v>23</v>
      </c>
    </row>
    <row r="38" spans="1:15" x14ac:dyDescent="0.35">
      <c r="A38">
        <v>105</v>
      </c>
      <c r="B38" t="s">
        <v>130</v>
      </c>
      <c r="C38">
        <v>31</v>
      </c>
      <c r="D38" t="str">
        <f t="shared" si="0"/>
        <v>Early Adults</v>
      </c>
      <c r="E38" t="s">
        <v>13</v>
      </c>
      <c r="F38" t="s">
        <v>14</v>
      </c>
      <c r="G38">
        <v>2752</v>
      </c>
      <c r="H38" t="str">
        <f t="shared" si="1"/>
        <v>2000 - 4000</v>
      </c>
      <c r="I38" s="1">
        <v>44314</v>
      </c>
      <c r="J38">
        <v>5</v>
      </c>
      <c r="K38">
        <v>6</v>
      </c>
      <c r="L38" t="str">
        <f t="shared" si="2"/>
        <v>Senior Level</v>
      </c>
      <c r="M38" t="s">
        <v>15</v>
      </c>
      <c r="N38" t="s">
        <v>30</v>
      </c>
      <c r="O38" t="s">
        <v>17</v>
      </c>
    </row>
    <row r="39" spans="1:15" x14ac:dyDescent="0.35">
      <c r="A39">
        <v>108</v>
      </c>
      <c r="B39" t="s">
        <v>133</v>
      </c>
      <c r="C39">
        <v>24</v>
      </c>
      <c r="D39" t="str">
        <f t="shared" si="0"/>
        <v>Young Adults</v>
      </c>
      <c r="E39" t="s">
        <v>35</v>
      </c>
      <c r="F39" t="s">
        <v>27</v>
      </c>
      <c r="G39">
        <v>2578</v>
      </c>
      <c r="H39" t="str">
        <f t="shared" si="1"/>
        <v>2000 - 4000</v>
      </c>
      <c r="I39" s="1">
        <v>43470</v>
      </c>
      <c r="J39">
        <v>5</v>
      </c>
      <c r="K39">
        <v>16</v>
      </c>
      <c r="L39" t="str">
        <f t="shared" si="2"/>
        <v>Manager</v>
      </c>
      <c r="M39" t="s">
        <v>15</v>
      </c>
      <c r="N39" t="s">
        <v>30</v>
      </c>
      <c r="O39" t="s">
        <v>25</v>
      </c>
    </row>
    <row r="40" spans="1:15" x14ac:dyDescent="0.35">
      <c r="A40">
        <v>109</v>
      </c>
      <c r="B40" t="s">
        <v>134</v>
      </c>
      <c r="C40">
        <v>51</v>
      </c>
      <c r="D40" t="str">
        <f t="shared" si="0"/>
        <v>Mature Adults</v>
      </c>
      <c r="E40" t="s">
        <v>35</v>
      </c>
      <c r="F40" t="s">
        <v>14</v>
      </c>
      <c r="G40">
        <v>7457</v>
      </c>
      <c r="H40" t="str">
        <f t="shared" si="1"/>
        <v>6000 - 8000</v>
      </c>
      <c r="I40" s="1">
        <v>43579</v>
      </c>
      <c r="J40">
        <v>0</v>
      </c>
      <c r="K40">
        <v>15</v>
      </c>
      <c r="L40" t="str">
        <f t="shared" si="2"/>
        <v>Manager</v>
      </c>
      <c r="M40" t="s">
        <v>15</v>
      </c>
      <c r="N40" t="s">
        <v>22</v>
      </c>
      <c r="O40" t="s">
        <v>17</v>
      </c>
    </row>
    <row r="41" spans="1:15" x14ac:dyDescent="0.35">
      <c r="A41">
        <v>110</v>
      </c>
      <c r="B41" t="s">
        <v>135</v>
      </c>
      <c r="C41">
        <v>58</v>
      </c>
      <c r="D41" t="str">
        <f t="shared" si="0"/>
        <v>Seniors</v>
      </c>
      <c r="E41" t="s">
        <v>13</v>
      </c>
      <c r="F41" t="s">
        <v>20</v>
      </c>
      <c r="G41">
        <v>7263</v>
      </c>
      <c r="H41" t="str">
        <f t="shared" si="1"/>
        <v>6000 - 8000</v>
      </c>
      <c r="I41" s="1">
        <v>43079</v>
      </c>
      <c r="J41">
        <v>0</v>
      </c>
      <c r="K41">
        <v>20</v>
      </c>
      <c r="L41" t="str">
        <f t="shared" si="2"/>
        <v>Manager</v>
      </c>
      <c r="M41" t="s">
        <v>15</v>
      </c>
      <c r="N41" t="s">
        <v>16</v>
      </c>
      <c r="O41" t="s">
        <v>25</v>
      </c>
    </row>
    <row r="42" spans="1:15" x14ac:dyDescent="0.35">
      <c r="A42">
        <v>120</v>
      </c>
      <c r="B42" t="s">
        <v>145</v>
      </c>
      <c r="C42">
        <v>22</v>
      </c>
      <c r="D42" t="str">
        <f t="shared" si="0"/>
        <v>Young Adults</v>
      </c>
      <c r="E42" t="s">
        <v>35</v>
      </c>
      <c r="F42" t="s">
        <v>14</v>
      </c>
      <c r="G42">
        <v>7187</v>
      </c>
      <c r="H42" t="str">
        <f t="shared" si="1"/>
        <v>6000 - 8000</v>
      </c>
      <c r="I42" s="1">
        <v>45317</v>
      </c>
      <c r="J42">
        <v>0</v>
      </c>
      <c r="K42">
        <v>1</v>
      </c>
      <c r="L42" t="str">
        <f t="shared" si="2"/>
        <v>Junior</v>
      </c>
      <c r="M42" t="s">
        <v>15</v>
      </c>
      <c r="N42" t="s">
        <v>16</v>
      </c>
      <c r="O42" t="s">
        <v>25</v>
      </c>
    </row>
    <row r="43" spans="1:15" x14ac:dyDescent="0.35">
      <c r="A43">
        <v>122</v>
      </c>
      <c r="B43" t="s">
        <v>147</v>
      </c>
      <c r="C43">
        <v>25</v>
      </c>
      <c r="D43" t="str">
        <f t="shared" si="0"/>
        <v>Early Adults</v>
      </c>
      <c r="E43" t="s">
        <v>35</v>
      </c>
      <c r="F43" t="s">
        <v>27</v>
      </c>
      <c r="G43">
        <v>5121</v>
      </c>
      <c r="H43" t="str">
        <f t="shared" si="1"/>
        <v>4000 - 6000</v>
      </c>
      <c r="I43" s="1">
        <v>43994</v>
      </c>
      <c r="J43">
        <v>0</v>
      </c>
      <c r="K43">
        <v>1</v>
      </c>
      <c r="L43" t="str">
        <f t="shared" si="2"/>
        <v>Junior</v>
      </c>
      <c r="M43" t="s">
        <v>15</v>
      </c>
      <c r="N43" t="s">
        <v>30</v>
      </c>
      <c r="O43" t="s">
        <v>17</v>
      </c>
    </row>
    <row r="44" spans="1:15" x14ac:dyDescent="0.35">
      <c r="A44">
        <v>124</v>
      </c>
      <c r="B44" t="s">
        <v>149</v>
      </c>
      <c r="C44">
        <v>24</v>
      </c>
      <c r="D44" t="str">
        <f t="shared" si="0"/>
        <v>Young Adults</v>
      </c>
      <c r="E44" t="s">
        <v>13</v>
      </c>
      <c r="F44" t="s">
        <v>20</v>
      </c>
      <c r="G44">
        <v>5287</v>
      </c>
      <c r="H44" t="str">
        <f t="shared" si="1"/>
        <v>4000 - 6000</v>
      </c>
      <c r="I44" s="1">
        <v>43167</v>
      </c>
      <c r="J44">
        <v>2</v>
      </c>
      <c r="K44">
        <v>1</v>
      </c>
      <c r="L44" t="str">
        <f t="shared" si="2"/>
        <v>Junior</v>
      </c>
      <c r="M44" t="s">
        <v>15</v>
      </c>
      <c r="N44" t="s">
        <v>16</v>
      </c>
      <c r="O44" t="s">
        <v>23</v>
      </c>
    </row>
    <row r="45" spans="1:15" x14ac:dyDescent="0.35">
      <c r="A45">
        <v>125</v>
      </c>
      <c r="B45" t="s">
        <v>150</v>
      </c>
      <c r="C45">
        <v>23</v>
      </c>
      <c r="D45" t="str">
        <f t="shared" si="0"/>
        <v>Young Adults</v>
      </c>
      <c r="E45" t="s">
        <v>35</v>
      </c>
      <c r="F45" t="s">
        <v>20</v>
      </c>
      <c r="G45">
        <v>3754</v>
      </c>
      <c r="H45" t="str">
        <f t="shared" si="1"/>
        <v>2000 - 4000</v>
      </c>
      <c r="I45" s="1">
        <v>44850</v>
      </c>
      <c r="J45">
        <v>0</v>
      </c>
      <c r="K45">
        <v>8</v>
      </c>
      <c r="L45" t="str">
        <f t="shared" si="2"/>
        <v>Consultant</v>
      </c>
      <c r="M45" t="s">
        <v>15</v>
      </c>
      <c r="N45" t="s">
        <v>30</v>
      </c>
      <c r="O45" t="s">
        <v>23</v>
      </c>
    </row>
    <row r="46" spans="1:15" x14ac:dyDescent="0.35">
      <c r="A46">
        <v>138</v>
      </c>
      <c r="B46" t="s">
        <v>163</v>
      </c>
      <c r="C46">
        <v>34</v>
      </c>
      <c r="D46" t="str">
        <f t="shared" si="0"/>
        <v>Early Adults</v>
      </c>
      <c r="E46" t="s">
        <v>13</v>
      </c>
      <c r="F46" t="s">
        <v>20</v>
      </c>
      <c r="G46">
        <v>4286</v>
      </c>
      <c r="H46" t="str">
        <f t="shared" si="1"/>
        <v>4000 - 6000</v>
      </c>
      <c r="I46" s="1">
        <v>43968</v>
      </c>
      <c r="J46">
        <v>0</v>
      </c>
      <c r="K46">
        <v>7</v>
      </c>
      <c r="L46" t="str">
        <f t="shared" si="2"/>
        <v>Senior Level</v>
      </c>
      <c r="M46" t="s">
        <v>15</v>
      </c>
      <c r="N46" t="s">
        <v>30</v>
      </c>
      <c r="O46" t="s">
        <v>25</v>
      </c>
    </row>
    <row r="47" spans="1:15" x14ac:dyDescent="0.35">
      <c r="A47">
        <v>152</v>
      </c>
      <c r="B47" t="s">
        <v>177</v>
      </c>
      <c r="C47">
        <v>58</v>
      </c>
      <c r="D47" t="str">
        <f t="shared" si="0"/>
        <v>Seniors</v>
      </c>
      <c r="E47" t="s">
        <v>35</v>
      </c>
      <c r="F47" t="s">
        <v>20</v>
      </c>
      <c r="G47">
        <v>2621</v>
      </c>
      <c r="H47" t="str">
        <f t="shared" si="1"/>
        <v>2000 - 4000</v>
      </c>
      <c r="I47" s="1">
        <v>43338</v>
      </c>
      <c r="J47">
        <v>0</v>
      </c>
      <c r="K47">
        <v>16</v>
      </c>
      <c r="L47" t="str">
        <f t="shared" si="2"/>
        <v>Manager</v>
      </c>
      <c r="M47" t="s">
        <v>15</v>
      </c>
      <c r="N47" t="s">
        <v>16</v>
      </c>
      <c r="O47" t="s">
        <v>23</v>
      </c>
    </row>
    <row r="48" spans="1:15" x14ac:dyDescent="0.35">
      <c r="A48">
        <v>157</v>
      </c>
      <c r="B48" t="s">
        <v>182</v>
      </c>
      <c r="C48">
        <v>43</v>
      </c>
      <c r="D48" t="str">
        <f t="shared" si="0"/>
        <v>Mid Adults</v>
      </c>
      <c r="E48" t="s">
        <v>13</v>
      </c>
      <c r="F48" t="s">
        <v>14</v>
      </c>
      <c r="G48">
        <v>4710</v>
      </c>
      <c r="H48" t="str">
        <f t="shared" si="1"/>
        <v>4000 - 6000</v>
      </c>
      <c r="I48" s="1">
        <v>44373</v>
      </c>
      <c r="J48">
        <v>1</v>
      </c>
      <c r="K48">
        <v>16</v>
      </c>
      <c r="L48" t="str">
        <f t="shared" si="2"/>
        <v>Manager</v>
      </c>
      <c r="M48" t="s">
        <v>15</v>
      </c>
      <c r="N48" t="s">
        <v>16</v>
      </c>
      <c r="O48" t="s">
        <v>17</v>
      </c>
    </row>
    <row r="49" spans="1:15" x14ac:dyDescent="0.35">
      <c r="A49">
        <v>160</v>
      </c>
      <c r="B49" t="s">
        <v>185</v>
      </c>
      <c r="C49">
        <v>26</v>
      </c>
      <c r="D49" t="str">
        <f t="shared" si="0"/>
        <v>Early Adults</v>
      </c>
      <c r="E49" t="s">
        <v>35</v>
      </c>
      <c r="F49" t="s">
        <v>14</v>
      </c>
      <c r="G49">
        <v>6157</v>
      </c>
      <c r="H49" t="str">
        <f t="shared" si="1"/>
        <v>6000 - 8000</v>
      </c>
      <c r="I49" s="1">
        <v>43220</v>
      </c>
      <c r="J49">
        <v>0</v>
      </c>
      <c r="K49">
        <v>15</v>
      </c>
      <c r="L49" t="str">
        <f t="shared" si="2"/>
        <v>Manager</v>
      </c>
      <c r="M49" t="s">
        <v>15</v>
      </c>
      <c r="N49" t="s">
        <v>16</v>
      </c>
      <c r="O49" t="s">
        <v>17</v>
      </c>
    </row>
    <row r="50" spans="1:15" x14ac:dyDescent="0.35">
      <c r="A50">
        <v>163</v>
      </c>
      <c r="B50" t="s">
        <v>188</v>
      </c>
      <c r="C50">
        <v>32</v>
      </c>
      <c r="D50" t="str">
        <f t="shared" si="0"/>
        <v>Early Adults</v>
      </c>
      <c r="E50" t="s">
        <v>35</v>
      </c>
      <c r="F50" t="s">
        <v>27</v>
      </c>
      <c r="G50">
        <v>8958</v>
      </c>
      <c r="H50" t="str">
        <f t="shared" si="1"/>
        <v>8000 - 10,000</v>
      </c>
      <c r="I50" s="1">
        <v>42809</v>
      </c>
      <c r="J50">
        <v>0</v>
      </c>
      <c r="K50">
        <v>17</v>
      </c>
      <c r="L50" t="str">
        <f t="shared" si="2"/>
        <v>Manager</v>
      </c>
      <c r="M50" t="s">
        <v>15</v>
      </c>
      <c r="N50" t="s">
        <v>22</v>
      </c>
      <c r="O50" t="s">
        <v>25</v>
      </c>
    </row>
    <row r="51" spans="1:15" x14ac:dyDescent="0.35">
      <c r="A51">
        <v>168</v>
      </c>
      <c r="B51" t="s">
        <v>193</v>
      </c>
      <c r="C51">
        <v>56</v>
      </c>
      <c r="D51" t="str">
        <f t="shared" si="0"/>
        <v>Seniors</v>
      </c>
      <c r="E51" t="s">
        <v>35</v>
      </c>
      <c r="F51" t="s">
        <v>27</v>
      </c>
      <c r="G51">
        <v>6006</v>
      </c>
      <c r="H51" t="str">
        <f t="shared" si="1"/>
        <v>6000 - 8000</v>
      </c>
      <c r="I51" s="1">
        <v>45220</v>
      </c>
      <c r="J51">
        <v>0</v>
      </c>
      <c r="K51">
        <v>4</v>
      </c>
      <c r="L51" t="str">
        <f t="shared" si="2"/>
        <v>Mid-Level</v>
      </c>
      <c r="M51" t="s">
        <v>15</v>
      </c>
      <c r="N51" t="s">
        <v>16</v>
      </c>
      <c r="O51" t="s">
        <v>25</v>
      </c>
    </row>
    <row r="52" spans="1:15" x14ac:dyDescent="0.35">
      <c r="A52">
        <v>171</v>
      </c>
      <c r="B52" t="s">
        <v>196</v>
      </c>
      <c r="C52">
        <v>48</v>
      </c>
      <c r="D52" t="str">
        <f t="shared" si="0"/>
        <v>Mature Adults</v>
      </c>
      <c r="E52" t="s">
        <v>13</v>
      </c>
      <c r="F52" t="s">
        <v>20</v>
      </c>
      <c r="G52">
        <v>2913</v>
      </c>
      <c r="H52" t="str">
        <f t="shared" si="1"/>
        <v>2000 - 4000</v>
      </c>
      <c r="I52" s="1">
        <v>44169</v>
      </c>
      <c r="J52">
        <v>2</v>
      </c>
      <c r="K52">
        <v>6</v>
      </c>
      <c r="L52" t="str">
        <f t="shared" si="2"/>
        <v>Senior Level</v>
      </c>
      <c r="M52" t="s">
        <v>15</v>
      </c>
      <c r="N52" t="s">
        <v>16</v>
      </c>
      <c r="O52" t="s">
        <v>23</v>
      </c>
    </row>
    <row r="53" spans="1:15" x14ac:dyDescent="0.35">
      <c r="A53">
        <v>176</v>
      </c>
      <c r="B53" t="s">
        <v>201</v>
      </c>
      <c r="C53">
        <v>32</v>
      </c>
      <c r="D53" t="str">
        <f t="shared" si="0"/>
        <v>Early Adults</v>
      </c>
      <c r="E53" t="s">
        <v>13</v>
      </c>
      <c r="F53" t="s">
        <v>20</v>
      </c>
      <c r="G53">
        <v>5224</v>
      </c>
      <c r="H53" t="str">
        <f t="shared" si="1"/>
        <v>4000 - 6000</v>
      </c>
      <c r="I53" s="1">
        <v>43492</v>
      </c>
      <c r="J53">
        <v>0</v>
      </c>
      <c r="K53">
        <v>15</v>
      </c>
      <c r="L53" t="str">
        <f t="shared" si="2"/>
        <v>Manager</v>
      </c>
      <c r="M53" t="s">
        <v>15</v>
      </c>
      <c r="N53" t="s">
        <v>22</v>
      </c>
      <c r="O53" t="s">
        <v>23</v>
      </c>
    </row>
    <row r="54" spans="1:15" x14ac:dyDescent="0.35">
      <c r="A54">
        <v>178</v>
      </c>
      <c r="B54" t="s">
        <v>203</v>
      </c>
      <c r="C54">
        <v>52</v>
      </c>
      <c r="D54" t="str">
        <f t="shared" si="0"/>
        <v>Mature Adults</v>
      </c>
      <c r="E54" t="s">
        <v>35</v>
      </c>
      <c r="F54" t="s">
        <v>20</v>
      </c>
      <c r="G54">
        <v>8899</v>
      </c>
      <c r="H54" t="str">
        <f t="shared" si="1"/>
        <v>8000 - 10,000</v>
      </c>
      <c r="I54" s="1">
        <v>42381</v>
      </c>
      <c r="J54">
        <v>0</v>
      </c>
      <c r="K54">
        <v>17</v>
      </c>
      <c r="L54" t="str">
        <f t="shared" si="2"/>
        <v>Manager</v>
      </c>
      <c r="M54" t="s">
        <v>15</v>
      </c>
      <c r="N54" t="s">
        <v>30</v>
      </c>
      <c r="O54" t="s">
        <v>23</v>
      </c>
    </row>
    <row r="55" spans="1:15" x14ac:dyDescent="0.35">
      <c r="A55">
        <v>181</v>
      </c>
      <c r="B55" t="s">
        <v>206</v>
      </c>
      <c r="C55">
        <v>33</v>
      </c>
      <c r="D55" t="str">
        <f t="shared" si="0"/>
        <v>Early Adults</v>
      </c>
      <c r="E55" t="s">
        <v>35</v>
      </c>
      <c r="F55" t="s">
        <v>14</v>
      </c>
      <c r="G55">
        <v>6833</v>
      </c>
      <c r="H55" t="str">
        <f t="shared" si="1"/>
        <v>6000 - 8000</v>
      </c>
      <c r="I55" s="1">
        <v>42039</v>
      </c>
      <c r="J55">
        <v>0</v>
      </c>
      <c r="K55">
        <v>16</v>
      </c>
      <c r="L55" t="str">
        <f t="shared" si="2"/>
        <v>Manager</v>
      </c>
      <c r="M55" t="s">
        <v>15</v>
      </c>
      <c r="N55" t="s">
        <v>16</v>
      </c>
      <c r="O55" t="s">
        <v>17</v>
      </c>
    </row>
    <row r="56" spans="1:15" x14ac:dyDescent="0.35">
      <c r="A56">
        <v>183</v>
      </c>
      <c r="B56" t="s">
        <v>208</v>
      </c>
      <c r="C56">
        <v>45</v>
      </c>
      <c r="D56" t="str">
        <f t="shared" si="0"/>
        <v>Mature Adults</v>
      </c>
      <c r="E56" t="s">
        <v>35</v>
      </c>
      <c r="F56" t="s">
        <v>27</v>
      </c>
      <c r="G56">
        <v>3979</v>
      </c>
      <c r="H56" t="str">
        <f t="shared" si="1"/>
        <v>2000 - 4000</v>
      </c>
      <c r="I56" s="1">
        <v>45358</v>
      </c>
      <c r="J56">
        <v>3</v>
      </c>
      <c r="K56">
        <v>12</v>
      </c>
      <c r="L56" t="str">
        <f t="shared" si="2"/>
        <v>Manager</v>
      </c>
      <c r="M56" t="s">
        <v>15</v>
      </c>
      <c r="N56" t="s">
        <v>16</v>
      </c>
      <c r="O56" t="s">
        <v>23</v>
      </c>
    </row>
    <row r="57" spans="1:15" x14ac:dyDescent="0.35">
      <c r="A57">
        <v>184</v>
      </c>
      <c r="B57" t="s">
        <v>209</v>
      </c>
      <c r="C57">
        <v>22</v>
      </c>
      <c r="D57" t="str">
        <f t="shared" si="0"/>
        <v>Young Adults</v>
      </c>
      <c r="E57" t="s">
        <v>35</v>
      </c>
      <c r="F57" t="s">
        <v>20</v>
      </c>
      <c r="G57">
        <v>8840</v>
      </c>
      <c r="H57" t="str">
        <f t="shared" si="1"/>
        <v>8000 - 10,000</v>
      </c>
      <c r="I57" s="1">
        <v>44943</v>
      </c>
      <c r="J57">
        <v>0</v>
      </c>
      <c r="K57">
        <v>17</v>
      </c>
      <c r="L57" t="str">
        <f t="shared" si="2"/>
        <v>Manager</v>
      </c>
      <c r="M57" t="s">
        <v>15</v>
      </c>
      <c r="N57" t="s">
        <v>16</v>
      </c>
      <c r="O57" t="s">
        <v>23</v>
      </c>
    </row>
    <row r="58" spans="1:15" x14ac:dyDescent="0.35">
      <c r="A58">
        <v>187</v>
      </c>
      <c r="B58" t="s">
        <v>212</v>
      </c>
      <c r="C58">
        <v>48</v>
      </c>
      <c r="D58" t="str">
        <f t="shared" si="0"/>
        <v>Mature Adults</v>
      </c>
      <c r="E58" t="s">
        <v>13</v>
      </c>
      <c r="F58" t="s">
        <v>14</v>
      </c>
      <c r="G58">
        <v>3064</v>
      </c>
      <c r="H58" t="str">
        <f t="shared" si="1"/>
        <v>2000 - 4000</v>
      </c>
      <c r="I58" s="1">
        <v>45164</v>
      </c>
      <c r="J58">
        <v>4</v>
      </c>
      <c r="K58">
        <v>11</v>
      </c>
      <c r="L58" t="str">
        <f t="shared" si="2"/>
        <v>Consultant</v>
      </c>
      <c r="M58" t="s">
        <v>15</v>
      </c>
      <c r="N58" t="s">
        <v>16</v>
      </c>
      <c r="O58" t="s">
        <v>23</v>
      </c>
    </row>
    <row r="59" spans="1:15" x14ac:dyDescent="0.35">
      <c r="A59">
        <v>190</v>
      </c>
      <c r="B59" t="s">
        <v>215</v>
      </c>
      <c r="C59">
        <v>21</v>
      </c>
      <c r="D59" t="str">
        <f t="shared" si="0"/>
        <v>Young Adults</v>
      </c>
      <c r="E59" t="s">
        <v>13</v>
      </c>
      <c r="F59" t="s">
        <v>14</v>
      </c>
      <c r="G59">
        <v>7708</v>
      </c>
      <c r="H59" t="str">
        <f t="shared" si="1"/>
        <v>6000 - 8000</v>
      </c>
      <c r="I59" s="1">
        <v>44510</v>
      </c>
      <c r="J59">
        <v>0</v>
      </c>
      <c r="K59">
        <v>20</v>
      </c>
      <c r="L59" t="str">
        <f t="shared" si="2"/>
        <v>Manager</v>
      </c>
      <c r="M59" t="s">
        <v>15</v>
      </c>
      <c r="N59" t="s">
        <v>22</v>
      </c>
      <c r="O59" t="s">
        <v>17</v>
      </c>
    </row>
    <row r="60" spans="1:15" x14ac:dyDescent="0.35">
      <c r="A60">
        <v>191</v>
      </c>
      <c r="B60" t="s">
        <v>216</v>
      </c>
      <c r="C60">
        <v>25</v>
      </c>
      <c r="D60" t="str">
        <f t="shared" si="0"/>
        <v>Early Adults</v>
      </c>
      <c r="E60" t="s">
        <v>13</v>
      </c>
      <c r="F60" t="s">
        <v>27</v>
      </c>
      <c r="G60">
        <v>9374</v>
      </c>
      <c r="H60" t="str">
        <f t="shared" si="1"/>
        <v>8000 - 10,000</v>
      </c>
      <c r="I60" s="1">
        <v>43699</v>
      </c>
      <c r="J60">
        <v>0</v>
      </c>
      <c r="K60">
        <v>15</v>
      </c>
      <c r="L60" t="str">
        <f t="shared" si="2"/>
        <v>Manager</v>
      </c>
      <c r="M60" t="s">
        <v>15</v>
      </c>
      <c r="N60" t="s">
        <v>16</v>
      </c>
      <c r="O60" t="s">
        <v>23</v>
      </c>
    </row>
    <row r="61" spans="1:15" x14ac:dyDescent="0.35">
      <c r="A61">
        <v>195</v>
      </c>
      <c r="B61" t="s">
        <v>220</v>
      </c>
      <c r="C61">
        <v>34</v>
      </c>
      <c r="D61" t="str">
        <f t="shared" si="0"/>
        <v>Early Adults</v>
      </c>
      <c r="E61" t="s">
        <v>35</v>
      </c>
      <c r="F61" t="s">
        <v>14</v>
      </c>
      <c r="G61">
        <v>3397</v>
      </c>
      <c r="H61" t="str">
        <f t="shared" si="1"/>
        <v>2000 - 4000</v>
      </c>
      <c r="I61" s="1">
        <v>44737</v>
      </c>
      <c r="J61">
        <v>4</v>
      </c>
      <c r="K61">
        <v>2</v>
      </c>
      <c r="L61" t="str">
        <f t="shared" si="2"/>
        <v>Junior</v>
      </c>
      <c r="M61" t="s">
        <v>15</v>
      </c>
      <c r="N61" t="s">
        <v>22</v>
      </c>
      <c r="O61" t="s">
        <v>23</v>
      </c>
    </row>
    <row r="62" spans="1:15" x14ac:dyDescent="0.35">
      <c r="A62">
        <v>197</v>
      </c>
      <c r="B62" t="s">
        <v>222</v>
      </c>
      <c r="C62">
        <v>22</v>
      </c>
      <c r="D62" t="str">
        <f t="shared" si="0"/>
        <v>Young Adults</v>
      </c>
      <c r="E62" t="s">
        <v>35</v>
      </c>
      <c r="F62" t="s">
        <v>14</v>
      </c>
      <c r="G62">
        <v>6539</v>
      </c>
      <c r="H62" t="str">
        <f t="shared" si="1"/>
        <v>6000 - 8000</v>
      </c>
      <c r="I62" s="1">
        <v>44754</v>
      </c>
      <c r="J62">
        <v>0</v>
      </c>
      <c r="K62">
        <v>2</v>
      </c>
      <c r="L62" t="str">
        <f t="shared" si="2"/>
        <v>Junior</v>
      </c>
      <c r="M62" t="s">
        <v>15</v>
      </c>
      <c r="N62" t="s">
        <v>22</v>
      </c>
      <c r="O62" t="s">
        <v>17</v>
      </c>
    </row>
    <row r="63" spans="1:15" x14ac:dyDescent="0.35">
      <c r="A63">
        <v>198</v>
      </c>
      <c r="B63" t="s">
        <v>223</v>
      </c>
      <c r="C63">
        <v>23</v>
      </c>
      <c r="D63" t="str">
        <f t="shared" si="0"/>
        <v>Young Adults</v>
      </c>
      <c r="E63" t="s">
        <v>13</v>
      </c>
      <c r="F63" t="s">
        <v>14</v>
      </c>
      <c r="G63">
        <v>3175</v>
      </c>
      <c r="H63" t="str">
        <f t="shared" si="1"/>
        <v>2000 - 4000</v>
      </c>
      <c r="I63" s="1">
        <v>44337</v>
      </c>
      <c r="J63">
        <v>0</v>
      </c>
      <c r="K63">
        <v>9</v>
      </c>
      <c r="L63" t="str">
        <f t="shared" si="2"/>
        <v>Consultant</v>
      </c>
      <c r="M63" t="s">
        <v>15</v>
      </c>
      <c r="N63" t="s">
        <v>16</v>
      </c>
      <c r="O63" t="s">
        <v>23</v>
      </c>
    </row>
    <row r="64" spans="1:15" x14ac:dyDescent="0.35">
      <c r="A64">
        <v>201</v>
      </c>
      <c r="B64" t="s">
        <v>226</v>
      </c>
      <c r="C64">
        <v>48</v>
      </c>
      <c r="D64" t="str">
        <f t="shared" si="0"/>
        <v>Mature Adults</v>
      </c>
      <c r="E64" t="s">
        <v>13</v>
      </c>
      <c r="F64" t="s">
        <v>14</v>
      </c>
      <c r="G64">
        <v>9930</v>
      </c>
      <c r="H64" t="str">
        <f t="shared" si="1"/>
        <v>8000 - 10,000</v>
      </c>
      <c r="I64" s="1">
        <v>43681</v>
      </c>
      <c r="J64">
        <v>5</v>
      </c>
      <c r="K64">
        <v>19</v>
      </c>
      <c r="L64" t="str">
        <f t="shared" si="2"/>
        <v>Manager</v>
      </c>
      <c r="M64" t="s">
        <v>15</v>
      </c>
      <c r="N64" t="s">
        <v>30</v>
      </c>
      <c r="O64" t="s">
        <v>25</v>
      </c>
    </row>
    <row r="65" spans="1:15" x14ac:dyDescent="0.35">
      <c r="A65">
        <v>204</v>
      </c>
      <c r="B65" t="s">
        <v>229</v>
      </c>
      <c r="C65">
        <v>28</v>
      </c>
      <c r="D65" t="str">
        <f t="shared" si="0"/>
        <v>Early Adults</v>
      </c>
      <c r="E65" t="s">
        <v>35</v>
      </c>
      <c r="F65" t="s">
        <v>14</v>
      </c>
      <c r="G65">
        <v>8416</v>
      </c>
      <c r="H65" t="str">
        <f t="shared" si="1"/>
        <v>8000 - 10,000</v>
      </c>
      <c r="I65" s="1">
        <v>44613</v>
      </c>
      <c r="J65">
        <v>0</v>
      </c>
      <c r="K65">
        <v>8</v>
      </c>
      <c r="L65" t="str">
        <f t="shared" si="2"/>
        <v>Consultant</v>
      </c>
      <c r="M65" t="s">
        <v>15</v>
      </c>
      <c r="N65" t="s">
        <v>22</v>
      </c>
      <c r="O65" t="s">
        <v>25</v>
      </c>
    </row>
    <row r="66" spans="1:15" x14ac:dyDescent="0.35">
      <c r="A66">
        <v>206</v>
      </c>
      <c r="B66" t="s">
        <v>231</v>
      </c>
      <c r="C66">
        <v>55</v>
      </c>
      <c r="D66" t="str">
        <f t="shared" si="0"/>
        <v>Seniors</v>
      </c>
      <c r="E66" t="s">
        <v>13</v>
      </c>
      <c r="F66" t="s">
        <v>27</v>
      </c>
      <c r="G66">
        <v>2127</v>
      </c>
      <c r="H66" t="str">
        <f t="shared" si="1"/>
        <v>2000 - 4000</v>
      </c>
      <c r="I66" s="1">
        <v>43505</v>
      </c>
      <c r="J66">
        <v>0</v>
      </c>
      <c r="K66">
        <v>8</v>
      </c>
      <c r="L66" t="str">
        <f t="shared" si="2"/>
        <v>Consultant</v>
      </c>
      <c r="M66" t="s">
        <v>15</v>
      </c>
      <c r="N66" t="s">
        <v>22</v>
      </c>
      <c r="O66" t="s">
        <v>23</v>
      </c>
    </row>
    <row r="67" spans="1:15" x14ac:dyDescent="0.35">
      <c r="A67">
        <v>207</v>
      </c>
      <c r="B67" t="s">
        <v>232</v>
      </c>
      <c r="C67">
        <v>43</v>
      </c>
      <c r="D67" t="str">
        <f t="shared" ref="D67:D130" si="3">IF(C:C&gt;=55,"Seniors",IF(C:C&gt;=45,"Mature Adults",IF(C:C&gt;=35,"Mid Adults",IF(C:C&gt;=25,"Early Adults",IF(C:C&gt;=18,"Young Adults")))))</f>
        <v>Mid Adults</v>
      </c>
      <c r="E67" t="s">
        <v>35</v>
      </c>
      <c r="F67" t="s">
        <v>27</v>
      </c>
      <c r="G67">
        <v>8563</v>
      </c>
      <c r="H67" t="str">
        <f t="shared" ref="H67:H130" si="4">IF(G:G&gt;=8000,"8000 - 10,000",IF(G:G&gt;=6000,"6000 - 8000",IF(G:G&gt;=4000,"4000 - 6000",IF(G:G&gt;=2000,"2000 - 4000"))))</f>
        <v>8000 - 10,000</v>
      </c>
      <c r="I67" s="1">
        <v>43097</v>
      </c>
      <c r="J67">
        <v>4</v>
      </c>
      <c r="K67">
        <v>11</v>
      </c>
      <c r="L67" t="str">
        <f t="shared" ref="L67:L130" si="5">IF(K:K&gt;=12,"Manager",IF(K:K&gt;=8,"Consultant",IF(K:K&gt;=5,"Senior Level",IF(K:K&gt;=3,"Mid-Level",IF(K:K&gt;=1,"Junior")))))</f>
        <v>Consultant</v>
      </c>
      <c r="M67" t="s">
        <v>15</v>
      </c>
      <c r="N67" t="s">
        <v>22</v>
      </c>
      <c r="O67" t="s">
        <v>17</v>
      </c>
    </row>
    <row r="68" spans="1:15" x14ac:dyDescent="0.35">
      <c r="A68">
        <v>208</v>
      </c>
      <c r="B68" t="s">
        <v>233</v>
      </c>
      <c r="C68">
        <v>24</v>
      </c>
      <c r="D68" t="str">
        <f t="shared" si="3"/>
        <v>Young Adults</v>
      </c>
      <c r="E68" t="s">
        <v>13</v>
      </c>
      <c r="F68" t="s">
        <v>27</v>
      </c>
      <c r="G68">
        <v>7539</v>
      </c>
      <c r="H68" t="str">
        <f t="shared" si="4"/>
        <v>6000 - 8000</v>
      </c>
      <c r="I68" s="1">
        <v>44232</v>
      </c>
      <c r="J68">
        <v>0</v>
      </c>
      <c r="K68">
        <v>5</v>
      </c>
      <c r="L68" t="str">
        <f t="shared" si="5"/>
        <v>Senior Level</v>
      </c>
      <c r="M68" t="s">
        <v>15</v>
      </c>
      <c r="N68" t="s">
        <v>22</v>
      </c>
      <c r="O68" t="s">
        <v>17</v>
      </c>
    </row>
    <row r="69" spans="1:15" x14ac:dyDescent="0.35">
      <c r="A69">
        <v>215</v>
      </c>
      <c r="B69" t="s">
        <v>240</v>
      </c>
      <c r="C69">
        <v>65</v>
      </c>
      <c r="D69" t="str">
        <f t="shared" si="3"/>
        <v>Seniors</v>
      </c>
      <c r="E69" t="s">
        <v>13</v>
      </c>
      <c r="F69" t="s">
        <v>27</v>
      </c>
      <c r="G69">
        <v>4538</v>
      </c>
      <c r="H69" t="str">
        <f t="shared" si="4"/>
        <v>4000 - 6000</v>
      </c>
      <c r="I69" s="1">
        <v>42401</v>
      </c>
      <c r="J69">
        <v>3</v>
      </c>
      <c r="K69">
        <v>8</v>
      </c>
      <c r="L69" t="str">
        <f t="shared" si="5"/>
        <v>Consultant</v>
      </c>
      <c r="M69" t="s">
        <v>15</v>
      </c>
      <c r="N69" t="s">
        <v>30</v>
      </c>
      <c r="O69" t="s">
        <v>25</v>
      </c>
    </row>
    <row r="70" spans="1:15" x14ac:dyDescent="0.35">
      <c r="A70">
        <v>216</v>
      </c>
      <c r="B70" t="s">
        <v>241</v>
      </c>
      <c r="C70">
        <v>50</v>
      </c>
      <c r="D70" t="str">
        <f t="shared" si="3"/>
        <v>Mature Adults</v>
      </c>
      <c r="E70" t="s">
        <v>13</v>
      </c>
      <c r="F70" t="s">
        <v>20</v>
      </c>
      <c r="G70">
        <v>9377</v>
      </c>
      <c r="H70" t="str">
        <f t="shared" si="4"/>
        <v>8000 - 10,000</v>
      </c>
      <c r="I70" s="1">
        <v>43754</v>
      </c>
      <c r="J70">
        <v>0</v>
      </c>
      <c r="K70">
        <v>3</v>
      </c>
      <c r="L70" t="str">
        <f t="shared" si="5"/>
        <v>Mid-Level</v>
      </c>
      <c r="M70" t="s">
        <v>15</v>
      </c>
      <c r="N70" t="s">
        <v>22</v>
      </c>
      <c r="O70" t="s">
        <v>25</v>
      </c>
    </row>
    <row r="71" spans="1:15" x14ac:dyDescent="0.35">
      <c r="A71">
        <v>218</v>
      </c>
      <c r="B71" t="s">
        <v>243</v>
      </c>
      <c r="C71">
        <v>25</v>
      </c>
      <c r="D71" t="str">
        <f t="shared" si="3"/>
        <v>Early Adults</v>
      </c>
      <c r="E71" t="s">
        <v>35</v>
      </c>
      <c r="F71" t="s">
        <v>27</v>
      </c>
      <c r="G71">
        <v>7335</v>
      </c>
      <c r="H71" t="str">
        <f t="shared" si="4"/>
        <v>6000 - 8000</v>
      </c>
      <c r="I71" s="1">
        <v>43044</v>
      </c>
      <c r="J71">
        <v>1</v>
      </c>
      <c r="K71">
        <v>3</v>
      </c>
      <c r="L71" t="str">
        <f t="shared" si="5"/>
        <v>Mid-Level</v>
      </c>
      <c r="M71" t="s">
        <v>15</v>
      </c>
      <c r="N71" t="s">
        <v>22</v>
      </c>
      <c r="O71" t="s">
        <v>17</v>
      </c>
    </row>
    <row r="72" spans="1:15" x14ac:dyDescent="0.35">
      <c r="A72">
        <v>223</v>
      </c>
      <c r="B72" t="s">
        <v>248</v>
      </c>
      <c r="C72">
        <v>62</v>
      </c>
      <c r="D72" t="str">
        <f t="shared" si="3"/>
        <v>Seniors</v>
      </c>
      <c r="E72" t="s">
        <v>13</v>
      </c>
      <c r="F72" t="s">
        <v>27</v>
      </c>
      <c r="G72">
        <v>7732</v>
      </c>
      <c r="H72" t="str">
        <f t="shared" si="4"/>
        <v>6000 - 8000</v>
      </c>
      <c r="I72" s="1">
        <v>44063</v>
      </c>
      <c r="J72">
        <v>0</v>
      </c>
      <c r="K72">
        <v>18</v>
      </c>
      <c r="L72" t="str">
        <f t="shared" si="5"/>
        <v>Manager</v>
      </c>
      <c r="M72" t="s">
        <v>15</v>
      </c>
      <c r="N72" t="s">
        <v>16</v>
      </c>
      <c r="O72" t="s">
        <v>25</v>
      </c>
    </row>
    <row r="73" spans="1:15" x14ac:dyDescent="0.35">
      <c r="A73">
        <v>229</v>
      </c>
      <c r="B73" t="s">
        <v>254</v>
      </c>
      <c r="C73">
        <v>51</v>
      </c>
      <c r="D73" t="str">
        <f t="shared" si="3"/>
        <v>Mature Adults</v>
      </c>
      <c r="E73" t="s">
        <v>13</v>
      </c>
      <c r="F73" t="s">
        <v>20</v>
      </c>
      <c r="G73">
        <v>9139</v>
      </c>
      <c r="H73" t="str">
        <f t="shared" si="4"/>
        <v>8000 - 10,000</v>
      </c>
      <c r="I73" s="1">
        <v>44059</v>
      </c>
      <c r="J73">
        <v>5</v>
      </c>
      <c r="K73">
        <v>1</v>
      </c>
      <c r="L73" t="str">
        <f t="shared" si="5"/>
        <v>Junior</v>
      </c>
      <c r="M73" t="s">
        <v>15</v>
      </c>
      <c r="N73" t="s">
        <v>30</v>
      </c>
      <c r="O73" t="s">
        <v>17</v>
      </c>
    </row>
    <row r="74" spans="1:15" x14ac:dyDescent="0.35">
      <c r="A74">
        <v>230</v>
      </c>
      <c r="B74" t="s">
        <v>255</v>
      </c>
      <c r="C74">
        <v>39</v>
      </c>
      <c r="D74" t="str">
        <f t="shared" si="3"/>
        <v>Mid Adults</v>
      </c>
      <c r="E74" t="s">
        <v>35</v>
      </c>
      <c r="F74" t="s">
        <v>27</v>
      </c>
      <c r="G74">
        <v>7250</v>
      </c>
      <c r="H74" t="str">
        <f t="shared" si="4"/>
        <v>6000 - 8000</v>
      </c>
      <c r="I74" s="1">
        <v>42562</v>
      </c>
      <c r="J74">
        <v>4</v>
      </c>
      <c r="K74">
        <v>1</v>
      </c>
      <c r="L74" t="str">
        <f t="shared" si="5"/>
        <v>Junior</v>
      </c>
      <c r="M74" t="s">
        <v>15</v>
      </c>
      <c r="N74" t="s">
        <v>30</v>
      </c>
      <c r="O74" t="s">
        <v>25</v>
      </c>
    </row>
    <row r="75" spans="1:15" x14ac:dyDescent="0.35">
      <c r="A75">
        <v>232</v>
      </c>
      <c r="B75" t="s">
        <v>257</v>
      </c>
      <c r="C75">
        <v>26</v>
      </c>
      <c r="D75" t="str">
        <f t="shared" si="3"/>
        <v>Early Adults</v>
      </c>
      <c r="E75" t="s">
        <v>13</v>
      </c>
      <c r="F75" t="s">
        <v>20</v>
      </c>
      <c r="G75">
        <v>6975</v>
      </c>
      <c r="H75" t="str">
        <f t="shared" si="4"/>
        <v>6000 - 8000</v>
      </c>
      <c r="I75" s="1">
        <v>42455</v>
      </c>
      <c r="J75">
        <v>0</v>
      </c>
      <c r="K75">
        <v>14</v>
      </c>
      <c r="L75" t="str">
        <f t="shared" si="5"/>
        <v>Manager</v>
      </c>
      <c r="M75" t="s">
        <v>15</v>
      </c>
      <c r="N75" t="s">
        <v>16</v>
      </c>
      <c r="O75" t="s">
        <v>23</v>
      </c>
    </row>
    <row r="76" spans="1:15" x14ac:dyDescent="0.35">
      <c r="A76">
        <v>233</v>
      </c>
      <c r="B76" t="s">
        <v>258</v>
      </c>
      <c r="C76">
        <v>50</v>
      </c>
      <c r="D76" t="str">
        <f t="shared" si="3"/>
        <v>Mature Adults</v>
      </c>
      <c r="E76" t="s">
        <v>35</v>
      </c>
      <c r="F76" t="s">
        <v>27</v>
      </c>
      <c r="G76">
        <v>8718</v>
      </c>
      <c r="H76" t="str">
        <f t="shared" si="4"/>
        <v>8000 - 10,000</v>
      </c>
      <c r="I76" s="1">
        <v>45490</v>
      </c>
      <c r="J76">
        <v>1</v>
      </c>
      <c r="K76">
        <v>18</v>
      </c>
      <c r="L76" t="str">
        <f t="shared" si="5"/>
        <v>Manager</v>
      </c>
      <c r="M76" t="s">
        <v>15</v>
      </c>
      <c r="N76" t="s">
        <v>30</v>
      </c>
      <c r="O76" t="s">
        <v>25</v>
      </c>
    </row>
    <row r="77" spans="1:15" x14ac:dyDescent="0.35">
      <c r="A77">
        <v>240</v>
      </c>
      <c r="B77" t="s">
        <v>265</v>
      </c>
      <c r="C77">
        <v>37</v>
      </c>
      <c r="D77" t="str">
        <f t="shared" si="3"/>
        <v>Mid Adults</v>
      </c>
      <c r="E77" t="s">
        <v>35</v>
      </c>
      <c r="F77" t="s">
        <v>20</v>
      </c>
      <c r="G77">
        <v>9356</v>
      </c>
      <c r="H77" t="str">
        <f t="shared" si="4"/>
        <v>8000 - 10,000</v>
      </c>
      <c r="I77" s="1">
        <v>43102</v>
      </c>
      <c r="J77">
        <v>3</v>
      </c>
      <c r="K77">
        <v>3</v>
      </c>
      <c r="L77" t="str">
        <f t="shared" si="5"/>
        <v>Mid-Level</v>
      </c>
      <c r="M77" t="s">
        <v>15</v>
      </c>
      <c r="N77" t="s">
        <v>30</v>
      </c>
      <c r="O77" t="s">
        <v>25</v>
      </c>
    </row>
    <row r="78" spans="1:15" x14ac:dyDescent="0.35">
      <c r="A78">
        <v>246</v>
      </c>
      <c r="B78" t="s">
        <v>271</v>
      </c>
      <c r="C78">
        <v>60</v>
      </c>
      <c r="D78" t="str">
        <f t="shared" si="3"/>
        <v>Seniors</v>
      </c>
      <c r="E78" t="s">
        <v>35</v>
      </c>
      <c r="F78" t="s">
        <v>20</v>
      </c>
      <c r="G78">
        <v>7911</v>
      </c>
      <c r="H78" t="str">
        <f t="shared" si="4"/>
        <v>6000 - 8000</v>
      </c>
      <c r="I78" s="1">
        <v>43548</v>
      </c>
      <c r="J78">
        <v>0</v>
      </c>
      <c r="K78">
        <v>7</v>
      </c>
      <c r="L78" t="str">
        <f t="shared" si="5"/>
        <v>Senior Level</v>
      </c>
      <c r="M78" t="s">
        <v>15</v>
      </c>
      <c r="N78" t="s">
        <v>30</v>
      </c>
      <c r="O78" t="s">
        <v>23</v>
      </c>
    </row>
    <row r="79" spans="1:15" x14ac:dyDescent="0.35">
      <c r="A79">
        <v>249</v>
      </c>
      <c r="B79" t="s">
        <v>274</v>
      </c>
      <c r="C79">
        <v>65</v>
      </c>
      <c r="D79" t="str">
        <f t="shared" si="3"/>
        <v>Seniors</v>
      </c>
      <c r="E79" t="s">
        <v>13</v>
      </c>
      <c r="F79" t="s">
        <v>27</v>
      </c>
      <c r="G79">
        <v>8882</v>
      </c>
      <c r="H79" t="str">
        <f t="shared" si="4"/>
        <v>8000 - 10,000</v>
      </c>
      <c r="I79" s="1">
        <v>43427</v>
      </c>
      <c r="J79">
        <v>0</v>
      </c>
      <c r="K79">
        <v>2</v>
      </c>
      <c r="L79" t="str">
        <f t="shared" si="5"/>
        <v>Junior</v>
      </c>
      <c r="M79" t="s">
        <v>15</v>
      </c>
      <c r="N79" t="s">
        <v>16</v>
      </c>
      <c r="O79" t="s">
        <v>25</v>
      </c>
    </row>
    <row r="80" spans="1:15" x14ac:dyDescent="0.35">
      <c r="A80">
        <v>250</v>
      </c>
      <c r="B80" t="s">
        <v>275</v>
      </c>
      <c r="C80">
        <v>25</v>
      </c>
      <c r="D80" t="str">
        <f t="shared" si="3"/>
        <v>Early Adults</v>
      </c>
      <c r="E80" t="s">
        <v>13</v>
      </c>
      <c r="F80" t="s">
        <v>14</v>
      </c>
      <c r="G80">
        <v>2994</v>
      </c>
      <c r="H80" t="str">
        <f t="shared" si="4"/>
        <v>2000 - 4000</v>
      </c>
      <c r="I80" s="1">
        <v>42268</v>
      </c>
      <c r="J80">
        <v>0</v>
      </c>
      <c r="K80">
        <v>14</v>
      </c>
      <c r="L80" t="str">
        <f t="shared" si="5"/>
        <v>Manager</v>
      </c>
      <c r="M80" t="s">
        <v>15</v>
      </c>
      <c r="N80" t="s">
        <v>30</v>
      </c>
      <c r="O80" t="s">
        <v>25</v>
      </c>
    </row>
    <row r="81" spans="1:15" x14ac:dyDescent="0.35">
      <c r="A81">
        <v>253</v>
      </c>
      <c r="B81" t="s">
        <v>278</v>
      </c>
      <c r="C81">
        <v>61</v>
      </c>
      <c r="D81" t="str">
        <f t="shared" si="3"/>
        <v>Seniors</v>
      </c>
      <c r="E81" t="s">
        <v>35</v>
      </c>
      <c r="F81" t="s">
        <v>27</v>
      </c>
      <c r="G81">
        <v>3063</v>
      </c>
      <c r="H81" t="str">
        <f t="shared" si="4"/>
        <v>2000 - 4000</v>
      </c>
      <c r="I81" s="1">
        <v>43177</v>
      </c>
      <c r="J81">
        <v>1</v>
      </c>
      <c r="K81">
        <v>4</v>
      </c>
      <c r="L81" t="str">
        <f t="shared" si="5"/>
        <v>Mid-Level</v>
      </c>
      <c r="M81" t="s">
        <v>15</v>
      </c>
      <c r="N81" t="s">
        <v>16</v>
      </c>
      <c r="O81" t="s">
        <v>25</v>
      </c>
    </row>
    <row r="82" spans="1:15" x14ac:dyDescent="0.35">
      <c r="A82">
        <v>255</v>
      </c>
      <c r="B82" t="s">
        <v>280</v>
      </c>
      <c r="C82">
        <v>45</v>
      </c>
      <c r="D82" t="str">
        <f t="shared" si="3"/>
        <v>Mature Adults</v>
      </c>
      <c r="E82" t="s">
        <v>35</v>
      </c>
      <c r="F82" t="s">
        <v>14</v>
      </c>
      <c r="G82">
        <v>9207</v>
      </c>
      <c r="H82" t="str">
        <f t="shared" si="4"/>
        <v>8000 - 10,000</v>
      </c>
      <c r="I82" s="1">
        <v>43835</v>
      </c>
      <c r="J82">
        <v>4</v>
      </c>
      <c r="K82">
        <v>4</v>
      </c>
      <c r="L82" t="str">
        <f t="shared" si="5"/>
        <v>Mid-Level</v>
      </c>
      <c r="M82" t="s">
        <v>15</v>
      </c>
      <c r="N82" t="s">
        <v>22</v>
      </c>
      <c r="O82" t="s">
        <v>25</v>
      </c>
    </row>
    <row r="83" spans="1:15" x14ac:dyDescent="0.35">
      <c r="A83">
        <v>257</v>
      </c>
      <c r="B83" t="s">
        <v>282</v>
      </c>
      <c r="C83">
        <v>19</v>
      </c>
      <c r="D83" t="str">
        <f t="shared" si="3"/>
        <v>Young Adults</v>
      </c>
      <c r="E83" t="s">
        <v>13</v>
      </c>
      <c r="F83" t="s">
        <v>27</v>
      </c>
      <c r="G83">
        <v>4084</v>
      </c>
      <c r="H83" t="str">
        <f t="shared" si="4"/>
        <v>4000 - 6000</v>
      </c>
      <c r="I83" s="1">
        <v>44796</v>
      </c>
      <c r="J83">
        <v>3</v>
      </c>
      <c r="K83">
        <v>7</v>
      </c>
      <c r="L83" t="str">
        <f t="shared" si="5"/>
        <v>Senior Level</v>
      </c>
      <c r="M83" t="s">
        <v>15</v>
      </c>
      <c r="N83" t="s">
        <v>22</v>
      </c>
      <c r="O83" t="s">
        <v>17</v>
      </c>
    </row>
    <row r="84" spans="1:15" x14ac:dyDescent="0.35">
      <c r="A84">
        <v>261</v>
      </c>
      <c r="B84" t="s">
        <v>286</v>
      </c>
      <c r="C84">
        <v>52</v>
      </c>
      <c r="D84" t="str">
        <f t="shared" si="3"/>
        <v>Mature Adults</v>
      </c>
      <c r="E84" t="s">
        <v>13</v>
      </c>
      <c r="F84" t="s">
        <v>27</v>
      </c>
      <c r="G84">
        <v>4322</v>
      </c>
      <c r="H84" t="str">
        <f t="shared" si="4"/>
        <v>4000 - 6000</v>
      </c>
      <c r="I84" s="1">
        <v>44771</v>
      </c>
      <c r="J84">
        <v>3</v>
      </c>
      <c r="K84">
        <v>4</v>
      </c>
      <c r="L84" t="str">
        <f t="shared" si="5"/>
        <v>Mid-Level</v>
      </c>
      <c r="M84" t="s">
        <v>15</v>
      </c>
      <c r="N84" t="s">
        <v>16</v>
      </c>
      <c r="O84" t="s">
        <v>17</v>
      </c>
    </row>
    <row r="85" spans="1:15" x14ac:dyDescent="0.35">
      <c r="A85">
        <v>263</v>
      </c>
      <c r="B85" t="s">
        <v>288</v>
      </c>
      <c r="C85">
        <v>58</v>
      </c>
      <c r="D85" t="str">
        <f t="shared" si="3"/>
        <v>Seniors</v>
      </c>
      <c r="E85" t="s">
        <v>35</v>
      </c>
      <c r="F85" t="s">
        <v>27</v>
      </c>
      <c r="G85">
        <v>3439</v>
      </c>
      <c r="H85" t="str">
        <f t="shared" si="4"/>
        <v>2000 - 4000</v>
      </c>
      <c r="I85" s="1">
        <v>44908</v>
      </c>
      <c r="J85">
        <v>0</v>
      </c>
      <c r="K85">
        <v>16</v>
      </c>
      <c r="L85" t="str">
        <f t="shared" si="5"/>
        <v>Manager</v>
      </c>
      <c r="M85" t="s">
        <v>15</v>
      </c>
      <c r="N85" t="s">
        <v>22</v>
      </c>
      <c r="O85" t="s">
        <v>23</v>
      </c>
    </row>
    <row r="86" spans="1:15" x14ac:dyDescent="0.35">
      <c r="A86">
        <v>267</v>
      </c>
      <c r="B86" t="s">
        <v>292</v>
      </c>
      <c r="C86">
        <v>50</v>
      </c>
      <c r="D86" t="str">
        <f t="shared" si="3"/>
        <v>Mature Adults</v>
      </c>
      <c r="E86" t="s">
        <v>35</v>
      </c>
      <c r="F86" t="s">
        <v>27</v>
      </c>
      <c r="G86">
        <v>5970</v>
      </c>
      <c r="H86" t="str">
        <f t="shared" si="4"/>
        <v>4000 - 6000</v>
      </c>
      <c r="I86" s="1">
        <v>42544</v>
      </c>
      <c r="J86">
        <v>2</v>
      </c>
      <c r="K86">
        <v>4</v>
      </c>
      <c r="L86" t="str">
        <f t="shared" si="5"/>
        <v>Mid-Level</v>
      </c>
      <c r="M86" t="s">
        <v>15</v>
      </c>
      <c r="N86" t="s">
        <v>16</v>
      </c>
      <c r="O86" t="s">
        <v>25</v>
      </c>
    </row>
    <row r="87" spans="1:15" x14ac:dyDescent="0.35">
      <c r="A87">
        <v>275</v>
      </c>
      <c r="B87" t="s">
        <v>300</v>
      </c>
      <c r="C87">
        <v>48</v>
      </c>
      <c r="D87" t="str">
        <f t="shared" si="3"/>
        <v>Mature Adults</v>
      </c>
      <c r="E87" t="s">
        <v>13</v>
      </c>
      <c r="F87" t="s">
        <v>20</v>
      </c>
      <c r="G87">
        <v>7287</v>
      </c>
      <c r="H87" t="str">
        <f t="shared" si="4"/>
        <v>6000 - 8000</v>
      </c>
      <c r="I87" s="1">
        <v>43530</v>
      </c>
      <c r="J87">
        <v>1</v>
      </c>
      <c r="K87">
        <v>9</v>
      </c>
      <c r="L87" t="str">
        <f t="shared" si="5"/>
        <v>Consultant</v>
      </c>
      <c r="M87" t="s">
        <v>15</v>
      </c>
      <c r="N87" t="s">
        <v>22</v>
      </c>
      <c r="O87" t="s">
        <v>17</v>
      </c>
    </row>
    <row r="88" spans="1:15" x14ac:dyDescent="0.35">
      <c r="A88">
        <v>276</v>
      </c>
      <c r="B88" t="s">
        <v>301</v>
      </c>
      <c r="C88">
        <v>22</v>
      </c>
      <c r="D88" t="str">
        <f t="shared" si="3"/>
        <v>Young Adults</v>
      </c>
      <c r="E88" t="s">
        <v>35</v>
      </c>
      <c r="F88" t="s">
        <v>20</v>
      </c>
      <c r="G88">
        <v>9749</v>
      </c>
      <c r="H88" t="str">
        <f t="shared" si="4"/>
        <v>8000 - 10,000</v>
      </c>
      <c r="I88" s="1">
        <v>43600</v>
      </c>
      <c r="J88">
        <v>0</v>
      </c>
      <c r="K88">
        <v>5</v>
      </c>
      <c r="L88" t="str">
        <f t="shared" si="5"/>
        <v>Senior Level</v>
      </c>
      <c r="M88" t="s">
        <v>15</v>
      </c>
      <c r="N88" t="s">
        <v>22</v>
      </c>
      <c r="O88" t="s">
        <v>25</v>
      </c>
    </row>
    <row r="89" spans="1:15" x14ac:dyDescent="0.35">
      <c r="A89">
        <v>277</v>
      </c>
      <c r="B89" t="s">
        <v>302</v>
      </c>
      <c r="C89">
        <v>45</v>
      </c>
      <c r="D89" t="str">
        <f t="shared" si="3"/>
        <v>Mature Adults</v>
      </c>
      <c r="E89" t="s">
        <v>13</v>
      </c>
      <c r="F89" t="s">
        <v>27</v>
      </c>
      <c r="G89">
        <v>4514</v>
      </c>
      <c r="H89" t="str">
        <f t="shared" si="4"/>
        <v>4000 - 6000</v>
      </c>
      <c r="I89" s="1">
        <v>44723</v>
      </c>
      <c r="J89">
        <v>4</v>
      </c>
      <c r="K89">
        <v>2</v>
      </c>
      <c r="L89" t="str">
        <f t="shared" si="5"/>
        <v>Junior</v>
      </c>
      <c r="M89" t="s">
        <v>15</v>
      </c>
      <c r="N89" t="s">
        <v>22</v>
      </c>
      <c r="O89" t="s">
        <v>25</v>
      </c>
    </row>
    <row r="90" spans="1:15" x14ac:dyDescent="0.35">
      <c r="A90">
        <v>279</v>
      </c>
      <c r="B90" t="s">
        <v>304</v>
      </c>
      <c r="C90">
        <v>49</v>
      </c>
      <c r="D90" t="str">
        <f t="shared" si="3"/>
        <v>Mature Adults</v>
      </c>
      <c r="E90" t="s">
        <v>35</v>
      </c>
      <c r="F90" t="s">
        <v>27</v>
      </c>
      <c r="G90">
        <v>7561</v>
      </c>
      <c r="H90" t="str">
        <f t="shared" si="4"/>
        <v>6000 - 8000</v>
      </c>
      <c r="I90" s="1">
        <v>42735</v>
      </c>
      <c r="J90">
        <v>0</v>
      </c>
      <c r="K90">
        <v>14</v>
      </c>
      <c r="L90" t="str">
        <f t="shared" si="5"/>
        <v>Manager</v>
      </c>
      <c r="M90" t="s">
        <v>15</v>
      </c>
      <c r="N90" t="s">
        <v>30</v>
      </c>
      <c r="O90" t="s">
        <v>23</v>
      </c>
    </row>
    <row r="91" spans="1:15" x14ac:dyDescent="0.35">
      <c r="A91">
        <v>284</v>
      </c>
      <c r="B91" t="s">
        <v>309</v>
      </c>
      <c r="C91">
        <v>18</v>
      </c>
      <c r="D91" t="str">
        <f t="shared" si="3"/>
        <v>Young Adults</v>
      </c>
      <c r="E91" t="s">
        <v>35</v>
      </c>
      <c r="F91" t="s">
        <v>20</v>
      </c>
      <c r="G91">
        <v>2364</v>
      </c>
      <c r="H91" t="str">
        <f t="shared" si="4"/>
        <v>2000 - 4000</v>
      </c>
      <c r="I91" s="1">
        <v>42701</v>
      </c>
      <c r="J91">
        <v>2</v>
      </c>
      <c r="K91">
        <v>12</v>
      </c>
      <c r="L91" t="str">
        <f t="shared" si="5"/>
        <v>Manager</v>
      </c>
      <c r="M91" t="s">
        <v>15</v>
      </c>
      <c r="N91" t="s">
        <v>22</v>
      </c>
      <c r="O91" t="s">
        <v>25</v>
      </c>
    </row>
    <row r="92" spans="1:15" x14ac:dyDescent="0.35">
      <c r="A92">
        <v>298</v>
      </c>
      <c r="B92" t="s">
        <v>323</v>
      </c>
      <c r="C92">
        <v>55</v>
      </c>
      <c r="D92" t="str">
        <f t="shared" si="3"/>
        <v>Seniors</v>
      </c>
      <c r="E92" t="s">
        <v>13</v>
      </c>
      <c r="F92" t="s">
        <v>20</v>
      </c>
      <c r="G92">
        <v>2414</v>
      </c>
      <c r="H92" t="str">
        <f t="shared" si="4"/>
        <v>2000 - 4000</v>
      </c>
      <c r="I92" s="1">
        <v>44137</v>
      </c>
      <c r="J92">
        <v>3</v>
      </c>
      <c r="K92">
        <v>4</v>
      </c>
      <c r="L92" t="str">
        <f t="shared" si="5"/>
        <v>Mid-Level</v>
      </c>
      <c r="M92" t="s">
        <v>15</v>
      </c>
      <c r="N92" t="s">
        <v>30</v>
      </c>
      <c r="O92" t="s">
        <v>17</v>
      </c>
    </row>
    <row r="93" spans="1:15" x14ac:dyDescent="0.35">
      <c r="A93">
        <v>301</v>
      </c>
      <c r="B93" t="s">
        <v>326</v>
      </c>
      <c r="C93">
        <v>31</v>
      </c>
      <c r="D93" t="str">
        <f t="shared" si="3"/>
        <v>Early Adults</v>
      </c>
      <c r="E93" t="s">
        <v>13</v>
      </c>
      <c r="F93" t="s">
        <v>14</v>
      </c>
      <c r="G93">
        <v>7039</v>
      </c>
      <c r="H93" t="str">
        <f t="shared" si="4"/>
        <v>6000 - 8000</v>
      </c>
      <c r="I93" s="1">
        <v>44222</v>
      </c>
      <c r="J93">
        <v>0</v>
      </c>
      <c r="K93">
        <v>18</v>
      </c>
      <c r="L93" t="str">
        <f t="shared" si="5"/>
        <v>Manager</v>
      </c>
      <c r="M93" t="s">
        <v>15</v>
      </c>
      <c r="N93" t="s">
        <v>30</v>
      </c>
      <c r="O93" t="s">
        <v>23</v>
      </c>
    </row>
    <row r="94" spans="1:15" x14ac:dyDescent="0.35">
      <c r="A94">
        <v>302</v>
      </c>
      <c r="B94" t="s">
        <v>327</v>
      </c>
      <c r="C94">
        <v>26</v>
      </c>
      <c r="D94" t="str">
        <f t="shared" si="3"/>
        <v>Early Adults</v>
      </c>
      <c r="E94" t="s">
        <v>13</v>
      </c>
      <c r="F94" t="s">
        <v>20</v>
      </c>
      <c r="G94">
        <v>8385</v>
      </c>
      <c r="H94" t="str">
        <f t="shared" si="4"/>
        <v>8000 - 10,000</v>
      </c>
      <c r="I94" s="1">
        <v>45216</v>
      </c>
      <c r="J94">
        <v>0</v>
      </c>
      <c r="K94">
        <v>15</v>
      </c>
      <c r="L94" t="str">
        <f t="shared" si="5"/>
        <v>Manager</v>
      </c>
      <c r="M94" t="s">
        <v>15</v>
      </c>
      <c r="N94" t="s">
        <v>16</v>
      </c>
      <c r="O94" t="s">
        <v>23</v>
      </c>
    </row>
    <row r="95" spans="1:15" x14ac:dyDescent="0.35">
      <c r="A95">
        <v>310</v>
      </c>
      <c r="B95" t="s">
        <v>335</v>
      </c>
      <c r="C95">
        <v>33</v>
      </c>
      <c r="D95" t="str">
        <f t="shared" si="3"/>
        <v>Early Adults</v>
      </c>
      <c r="E95" t="s">
        <v>13</v>
      </c>
      <c r="F95" t="s">
        <v>20</v>
      </c>
      <c r="G95">
        <v>3636</v>
      </c>
      <c r="H95" t="str">
        <f t="shared" si="4"/>
        <v>2000 - 4000</v>
      </c>
      <c r="I95" s="1">
        <v>42847</v>
      </c>
      <c r="J95">
        <v>4</v>
      </c>
      <c r="K95">
        <v>7</v>
      </c>
      <c r="L95" t="str">
        <f t="shared" si="5"/>
        <v>Senior Level</v>
      </c>
      <c r="M95" t="s">
        <v>15</v>
      </c>
      <c r="N95" t="s">
        <v>30</v>
      </c>
      <c r="O95" t="s">
        <v>25</v>
      </c>
    </row>
    <row r="96" spans="1:15" x14ac:dyDescent="0.35">
      <c r="A96">
        <v>313</v>
      </c>
      <c r="B96" t="s">
        <v>338</v>
      </c>
      <c r="C96">
        <v>26</v>
      </c>
      <c r="D96" t="str">
        <f t="shared" si="3"/>
        <v>Early Adults</v>
      </c>
      <c r="E96" t="s">
        <v>13</v>
      </c>
      <c r="F96" t="s">
        <v>20</v>
      </c>
      <c r="G96">
        <v>3495</v>
      </c>
      <c r="H96" t="str">
        <f t="shared" si="4"/>
        <v>2000 - 4000</v>
      </c>
      <c r="I96" s="1">
        <v>42007</v>
      </c>
      <c r="J96">
        <v>1</v>
      </c>
      <c r="K96">
        <v>18</v>
      </c>
      <c r="L96" t="str">
        <f t="shared" si="5"/>
        <v>Manager</v>
      </c>
      <c r="M96" t="s">
        <v>15</v>
      </c>
      <c r="N96" t="s">
        <v>22</v>
      </c>
      <c r="O96" t="s">
        <v>17</v>
      </c>
    </row>
    <row r="97" spans="1:15" x14ac:dyDescent="0.35">
      <c r="A97">
        <v>319</v>
      </c>
      <c r="B97" t="s">
        <v>344</v>
      </c>
      <c r="C97">
        <v>61</v>
      </c>
      <c r="D97" t="str">
        <f t="shared" si="3"/>
        <v>Seniors</v>
      </c>
      <c r="E97" t="s">
        <v>13</v>
      </c>
      <c r="F97" t="s">
        <v>20</v>
      </c>
      <c r="G97">
        <v>7087</v>
      </c>
      <c r="H97" t="str">
        <f t="shared" si="4"/>
        <v>6000 - 8000</v>
      </c>
      <c r="I97" s="1">
        <v>45562</v>
      </c>
      <c r="J97">
        <v>2</v>
      </c>
      <c r="K97">
        <v>11</v>
      </c>
      <c r="L97" t="str">
        <f t="shared" si="5"/>
        <v>Consultant</v>
      </c>
      <c r="M97" t="s">
        <v>15</v>
      </c>
      <c r="N97" t="s">
        <v>22</v>
      </c>
      <c r="O97" t="s">
        <v>17</v>
      </c>
    </row>
    <row r="98" spans="1:15" x14ac:dyDescent="0.35">
      <c r="A98">
        <v>324</v>
      </c>
      <c r="B98" t="s">
        <v>349</v>
      </c>
      <c r="C98">
        <v>46</v>
      </c>
      <c r="D98" t="str">
        <f t="shared" si="3"/>
        <v>Mature Adults</v>
      </c>
      <c r="E98" t="s">
        <v>35</v>
      </c>
      <c r="F98" t="s">
        <v>14</v>
      </c>
      <c r="G98">
        <v>8306</v>
      </c>
      <c r="H98" t="str">
        <f t="shared" si="4"/>
        <v>8000 - 10,000</v>
      </c>
      <c r="I98" s="1">
        <v>45610</v>
      </c>
      <c r="J98">
        <v>5</v>
      </c>
      <c r="K98">
        <v>15</v>
      </c>
      <c r="L98" t="str">
        <f t="shared" si="5"/>
        <v>Manager</v>
      </c>
      <c r="M98" t="s">
        <v>15</v>
      </c>
      <c r="N98" t="s">
        <v>16</v>
      </c>
      <c r="O98" t="s">
        <v>23</v>
      </c>
    </row>
    <row r="99" spans="1:15" x14ac:dyDescent="0.35">
      <c r="A99">
        <v>328</v>
      </c>
      <c r="B99" t="s">
        <v>353</v>
      </c>
      <c r="C99">
        <v>22</v>
      </c>
      <c r="D99" t="str">
        <f t="shared" si="3"/>
        <v>Young Adults</v>
      </c>
      <c r="E99" t="s">
        <v>13</v>
      </c>
      <c r="F99" t="s">
        <v>14</v>
      </c>
      <c r="G99">
        <v>7928</v>
      </c>
      <c r="H99" t="str">
        <f t="shared" si="4"/>
        <v>6000 - 8000</v>
      </c>
      <c r="I99" s="1">
        <v>44327</v>
      </c>
      <c r="J99">
        <v>3</v>
      </c>
      <c r="K99">
        <v>1</v>
      </c>
      <c r="L99" t="str">
        <f t="shared" si="5"/>
        <v>Junior</v>
      </c>
      <c r="M99" t="s">
        <v>15</v>
      </c>
      <c r="N99" t="s">
        <v>22</v>
      </c>
      <c r="O99" t="s">
        <v>17</v>
      </c>
    </row>
    <row r="100" spans="1:15" x14ac:dyDescent="0.35">
      <c r="A100">
        <v>330</v>
      </c>
      <c r="B100" t="s">
        <v>355</v>
      </c>
      <c r="C100">
        <v>32</v>
      </c>
      <c r="D100" t="str">
        <f t="shared" si="3"/>
        <v>Early Adults</v>
      </c>
      <c r="E100" t="s">
        <v>35</v>
      </c>
      <c r="F100" t="s">
        <v>27</v>
      </c>
      <c r="G100">
        <v>5502</v>
      </c>
      <c r="H100" t="str">
        <f t="shared" si="4"/>
        <v>4000 - 6000</v>
      </c>
      <c r="I100" s="1">
        <v>44299</v>
      </c>
      <c r="J100">
        <v>4</v>
      </c>
      <c r="K100">
        <v>9</v>
      </c>
      <c r="L100" t="str">
        <f t="shared" si="5"/>
        <v>Consultant</v>
      </c>
      <c r="M100" t="s">
        <v>15</v>
      </c>
      <c r="N100" t="s">
        <v>16</v>
      </c>
      <c r="O100" t="s">
        <v>25</v>
      </c>
    </row>
    <row r="101" spans="1:15" x14ac:dyDescent="0.35">
      <c r="A101">
        <v>332</v>
      </c>
      <c r="B101" t="s">
        <v>357</v>
      </c>
      <c r="C101">
        <v>52</v>
      </c>
      <c r="D101" t="str">
        <f t="shared" si="3"/>
        <v>Mature Adults</v>
      </c>
      <c r="E101" t="s">
        <v>35</v>
      </c>
      <c r="F101" t="s">
        <v>20</v>
      </c>
      <c r="G101">
        <v>5380</v>
      </c>
      <c r="H101" t="str">
        <f t="shared" si="4"/>
        <v>4000 - 6000</v>
      </c>
      <c r="I101" s="1">
        <v>43944</v>
      </c>
      <c r="J101">
        <v>0</v>
      </c>
      <c r="K101">
        <v>8</v>
      </c>
      <c r="L101" t="str">
        <f t="shared" si="5"/>
        <v>Consultant</v>
      </c>
      <c r="M101" t="s">
        <v>15</v>
      </c>
      <c r="N101" t="s">
        <v>30</v>
      </c>
      <c r="O101" t="s">
        <v>23</v>
      </c>
    </row>
    <row r="102" spans="1:15" x14ac:dyDescent="0.35">
      <c r="A102">
        <v>333</v>
      </c>
      <c r="B102" t="s">
        <v>358</v>
      </c>
      <c r="C102">
        <v>38</v>
      </c>
      <c r="D102" t="str">
        <f t="shared" si="3"/>
        <v>Mid Adults</v>
      </c>
      <c r="E102" t="s">
        <v>13</v>
      </c>
      <c r="F102" t="s">
        <v>20</v>
      </c>
      <c r="G102">
        <v>6259</v>
      </c>
      <c r="H102" t="str">
        <f t="shared" si="4"/>
        <v>6000 - 8000</v>
      </c>
      <c r="I102" s="1">
        <v>42534</v>
      </c>
      <c r="J102">
        <v>4</v>
      </c>
      <c r="K102">
        <v>5</v>
      </c>
      <c r="L102" t="str">
        <f t="shared" si="5"/>
        <v>Senior Level</v>
      </c>
      <c r="M102" t="s">
        <v>15</v>
      </c>
      <c r="N102" t="s">
        <v>16</v>
      </c>
      <c r="O102" t="s">
        <v>17</v>
      </c>
    </row>
    <row r="103" spans="1:15" x14ac:dyDescent="0.35">
      <c r="A103">
        <v>334</v>
      </c>
      <c r="B103" t="s">
        <v>359</v>
      </c>
      <c r="C103">
        <v>25</v>
      </c>
      <c r="D103" t="str">
        <f t="shared" si="3"/>
        <v>Early Adults</v>
      </c>
      <c r="E103" t="s">
        <v>13</v>
      </c>
      <c r="F103" t="s">
        <v>27</v>
      </c>
      <c r="G103">
        <v>8301</v>
      </c>
      <c r="H103" t="str">
        <f t="shared" si="4"/>
        <v>8000 - 10,000</v>
      </c>
      <c r="I103" s="1">
        <v>43937</v>
      </c>
      <c r="J103">
        <v>0</v>
      </c>
      <c r="K103">
        <v>14</v>
      </c>
      <c r="L103" t="str">
        <f t="shared" si="5"/>
        <v>Manager</v>
      </c>
      <c r="M103" t="s">
        <v>15</v>
      </c>
      <c r="N103" t="s">
        <v>22</v>
      </c>
      <c r="O103" t="s">
        <v>25</v>
      </c>
    </row>
    <row r="104" spans="1:15" x14ac:dyDescent="0.35">
      <c r="A104">
        <v>335</v>
      </c>
      <c r="B104" t="s">
        <v>360</v>
      </c>
      <c r="C104">
        <v>56</v>
      </c>
      <c r="D104" t="str">
        <f t="shared" si="3"/>
        <v>Seniors</v>
      </c>
      <c r="E104" t="s">
        <v>35</v>
      </c>
      <c r="F104" t="s">
        <v>14</v>
      </c>
      <c r="G104">
        <v>6496</v>
      </c>
      <c r="H104" t="str">
        <f t="shared" si="4"/>
        <v>6000 - 8000</v>
      </c>
      <c r="I104" s="1">
        <v>43393</v>
      </c>
      <c r="J104">
        <v>2</v>
      </c>
      <c r="K104">
        <v>11</v>
      </c>
      <c r="L104" t="str">
        <f t="shared" si="5"/>
        <v>Consultant</v>
      </c>
      <c r="M104" t="s">
        <v>15</v>
      </c>
      <c r="N104" t="s">
        <v>22</v>
      </c>
      <c r="O104" t="s">
        <v>17</v>
      </c>
    </row>
    <row r="105" spans="1:15" x14ac:dyDescent="0.35">
      <c r="A105">
        <v>339</v>
      </c>
      <c r="B105" t="s">
        <v>364</v>
      </c>
      <c r="C105">
        <v>32</v>
      </c>
      <c r="D105" t="str">
        <f t="shared" si="3"/>
        <v>Early Adults</v>
      </c>
      <c r="E105" t="s">
        <v>13</v>
      </c>
      <c r="F105" t="s">
        <v>27</v>
      </c>
      <c r="G105">
        <v>4750</v>
      </c>
      <c r="H105" t="str">
        <f t="shared" si="4"/>
        <v>4000 - 6000</v>
      </c>
      <c r="I105" s="1">
        <v>42850</v>
      </c>
      <c r="J105">
        <v>0</v>
      </c>
      <c r="K105">
        <v>8</v>
      </c>
      <c r="L105" t="str">
        <f t="shared" si="5"/>
        <v>Consultant</v>
      </c>
      <c r="M105" t="s">
        <v>15</v>
      </c>
      <c r="N105" t="s">
        <v>22</v>
      </c>
      <c r="O105" t="s">
        <v>17</v>
      </c>
    </row>
    <row r="106" spans="1:15" x14ac:dyDescent="0.35">
      <c r="A106">
        <v>347</v>
      </c>
      <c r="B106" t="s">
        <v>372</v>
      </c>
      <c r="C106">
        <v>62</v>
      </c>
      <c r="D106" t="str">
        <f t="shared" si="3"/>
        <v>Seniors</v>
      </c>
      <c r="E106" t="s">
        <v>13</v>
      </c>
      <c r="F106" t="s">
        <v>14</v>
      </c>
      <c r="G106">
        <v>7803</v>
      </c>
      <c r="H106" t="str">
        <f t="shared" si="4"/>
        <v>6000 - 8000</v>
      </c>
      <c r="I106" s="1">
        <v>43819</v>
      </c>
      <c r="J106">
        <v>0</v>
      </c>
      <c r="K106">
        <v>8</v>
      </c>
      <c r="L106" t="str">
        <f t="shared" si="5"/>
        <v>Consultant</v>
      </c>
      <c r="M106" t="s">
        <v>15</v>
      </c>
      <c r="N106" t="s">
        <v>22</v>
      </c>
      <c r="O106" t="s">
        <v>17</v>
      </c>
    </row>
    <row r="107" spans="1:15" x14ac:dyDescent="0.35">
      <c r="A107">
        <v>350</v>
      </c>
      <c r="B107" t="s">
        <v>375</v>
      </c>
      <c r="C107">
        <v>44</v>
      </c>
      <c r="D107" t="str">
        <f t="shared" si="3"/>
        <v>Mid Adults</v>
      </c>
      <c r="E107" t="s">
        <v>35</v>
      </c>
      <c r="F107" t="s">
        <v>27</v>
      </c>
      <c r="G107">
        <v>7895</v>
      </c>
      <c r="H107" t="str">
        <f t="shared" si="4"/>
        <v>6000 - 8000</v>
      </c>
      <c r="I107" s="1">
        <v>43633</v>
      </c>
      <c r="J107">
        <v>5</v>
      </c>
      <c r="K107">
        <v>13</v>
      </c>
      <c r="L107" t="str">
        <f t="shared" si="5"/>
        <v>Manager</v>
      </c>
      <c r="M107" t="s">
        <v>15</v>
      </c>
      <c r="N107" t="s">
        <v>30</v>
      </c>
      <c r="O107" t="s">
        <v>23</v>
      </c>
    </row>
    <row r="108" spans="1:15" x14ac:dyDescent="0.35">
      <c r="A108">
        <v>353</v>
      </c>
      <c r="B108" t="s">
        <v>378</v>
      </c>
      <c r="C108">
        <v>39</v>
      </c>
      <c r="D108" t="str">
        <f t="shared" si="3"/>
        <v>Mid Adults</v>
      </c>
      <c r="E108" t="s">
        <v>13</v>
      </c>
      <c r="F108" t="s">
        <v>20</v>
      </c>
      <c r="G108">
        <v>3353</v>
      </c>
      <c r="H108" t="str">
        <f t="shared" si="4"/>
        <v>2000 - 4000</v>
      </c>
      <c r="I108" s="1">
        <v>43051</v>
      </c>
      <c r="J108">
        <v>0</v>
      </c>
      <c r="K108">
        <v>15</v>
      </c>
      <c r="L108" t="str">
        <f t="shared" si="5"/>
        <v>Manager</v>
      </c>
      <c r="M108" t="s">
        <v>15</v>
      </c>
      <c r="N108" t="s">
        <v>22</v>
      </c>
      <c r="O108" t="s">
        <v>17</v>
      </c>
    </row>
    <row r="109" spans="1:15" x14ac:dyDescent="0.35">
      <c r="A109">
        <v>354</v>
      </c>
      <c r="B109" t="s">
        <v>379</v>
      </c>
      <c r="C109">
        <v>30</v>
      </c>
      <c r="D109" t="str">
        <f t="shared" si="3"/>
        <v>Early Adults</v>
      </c>
      <c r="E109" t="s">
        <v>35</v>
      </c>
      <c r="F109" t="s">
        <v>20</v>
      </c>
      <c r="G109">
        <v>7252</v>
      </c>
      <c r="H109" t="str">
        <f t="shared" si="4"/>
        <v>6000 - 8000</v>
      </c>
      <c r="I109" s="1">
        <v>44527</v>
      </c>
      <c r="J109">
        <v>4</v>
      </c>
      <c r="K109">
        <v>14</v>
      </c>
      <c r="L109" t="str">
        <f t="shared" si="5"/>
        <v>Manager</v>
      </c>
      <c r="M109" t="s">
        <v>15</v>
      </c>
      <c r="N109" t="s">
        <v>16</v>
      </c>
      <c r="O109" t="s">
        <v>25</v>
      </c>
    </row>
    <row r="110" spans="1:15" x14ac:dyDescent="0.35">
      <c r="A110">
        <v>358</v>
      </c>
      <c r="B110" t="s">
        <v>383</v>
      </c>
      <c r="C110">
        <v>61</v>
      </c>
      <c r="D110" t="str">
        <f t="shared" si="3"/>
        <v>Seniors</v>
      </c>
      <c r="E110" t="s">
        <v>35</v>
      </c>
      <c r="F110" t="s">
        <v>20</v>
      </c>
      <c r="G110">
        <v>2928</v>
      </c>
      <c r="H110" t="str">
        <f t="shared" si="4"/>
        <v>2000 - 4000</v>
      </c>
      <c r="I110" s="1">
        <v>43316</v>
      </c>
      <c r="J110">
        <v>0</v>
      </c>
      <c r="K110">
        <v>15</v>
      </c>
      <c r="L110" t="str">
        <f t="shared" si="5"/>
        <v>Manager</v>
      </c>
      <c r="M110" t="s">
        <v>15</v>
      </c>
      <c r="N110" t="s">
        <v>22</v>
      </c>
      <c r="O110" t="s">
        <v>23</v>
      </c>
    </row>
    <row r="111" spans="1:15" x14ac:dyDescent="0.35">
      <c r="A111">
        <v>362</v>
      </c>
      <c r="B111" t="s">
        <v>387</v>
      </c>
      <c r="C111">
        <v>51</v>
      </c>
      <c r="D111" t="str">
        <f t="shared" si="3"/>
        <v>Mature Adults</v>
      </c>
      <c r="E111" t="s">
        <v>35</v>
      </c>
      <c r="F111" t="s">
        <v>20</v>
      </c>
      <c r="G111">
        <v>4503</v>
      </c>
      <c r="H111" t="str">
        <f t="shared" si="4"/>
        <v>4000 - 6000</v>
      </c>
      <c r="I111" s="1">
        <v>43905</v>
      </c>
      <c r="J111">
        <v>0</v>
      </c>
      <c r="K111">
        <v>5</v>
      </c>
      <c r="L111" t="str">
        <f t="shared" si="5"/>
        <v>Senior Level</v>
      </c>
      <c r="M111" t="s">
        <v>15</v>
      </c>
      <c r="N111" t="s">
        <v>30</v>
      </c>
      <c r="O111" t="s">
        <v>17</v>
      </c>
    </row>
    <row r="112" spans="1:15" x14ac:dyDescent="0.35">
      <c r="A112">
        <v>363</v>
      </c>
      <c r="B112" t="s">
        <v>388</v>
      </c>
      <c r="C112">
        <v>29</v>
      </c>
      <c r="D112" t="str">
        <f t="shared" si="3"/>
        <v>Early Adults</v>
      </c>
      <c r="E112" t="s">
        <v>13</v>
      </c>
      <c r="F112" t="s">
        <v>27</v>
      </c>
      <c r="G112">
        <v>7903</v>
      </c>
      <c r="H112" t="str">
        <f t="shared" si="4"/>
        <v>6000 - 8000</v>
      </c>
      <c r="I112" s="1">
        <v>43122</v>
      </c>
      <c r="J112">
        <v>0</v>
      </c>
      <c r="K112">
        <v>1</v>
      </c>
      <c r="L112" t="str">
        <f t="shared" si="5"/>
        <v>Junior</v>
      </c>
      <c r="M112" t="s">
        <v>15</v>
      </c>
      <c r="N112" t="s">
        <v>16</v>
      </c>
      <c r="O112" t="s">
        <v>17</v>
      </c>
    </row>
    <row r="113" spans="1:15" x14ac:dyDescent="0.35">
      <c r="A113">
        <v>369</v>
      </c>
      <c r="B113" t="s">
        <v>394</v>
      </c>
      <c r="C113">
        <v>23</v>
      </c>
      <c r="D113" t="str">
        <f t="shared" si="3"/>
        <v>Young Adults</v>
      </c>
      <c r="E113" t="s">
        <v>35</v>
      </c>
      <c r="F113" t="s">
        <v>14</v>
      </c>
      <c r="G113">
        <v>7559</v>
      </c>
      <c r="H113" t="str">
        <f t="shared" si="4"/>
        <v>6000 - 8000</v>
      </c>
      <c r="I113" s="1">
        <v>44660</v>
      </c>
      <c r="J113">
        <v>0</v>
      </c>
      <c r="K113">
        <v>20</v>
      </c>
      <c r="L113" t="str">
        <f t="shared" si="5"/>
        <v>Manager</v>
      </c>
      <c r="M113" t="s">
        <v>15</v>
      </c>
      <c r="N113" t="s">
        <v>16</v>
      </c>
      <c r="O113" t="s">
        <v>17</v>
      </c>
    </row>
    <row r="114" spans="1:15" x14ac:dyDescent="0.35">
      <c r="A114">
        <v>374</v>
      </c>
      <c r="B114" t="s">
        <v>399</v>
      </c>
      <c r="C114">
        <v>22</v>
      </c>
      <c r="D114" t="str">
        <f t="shared" si="3"/>
        <v>Young Adults</v>
      </c>
      <c r="E114" t="s">
        <v>35</v>
      </c>
      <c r="F114" t="s">
        <v>14</v>
      </c>
      <c r="G114">
        <v>8147</v>
      </c>
      <c r="H114" t="str">
        <f t="shared" si="4"/>
        <v>8000 - 10,000</v>
      </c>
      <c r="I114" s="1">
        <v>43632</v>
      </c>
      <c r="J114">
        <v>0</v>
      </c>
      <c r="K114">
        <v>17</v>
      </c>
      <c r="L114" t="str">
        <f t="shared" si="5"/>
        <v>Manager</v>
      </c>
      <c r="M114" t="s">
        <v>15</v>
      </c>
      <c r="N114" t="s">
        <v>22</v>
      </c>
      <c r="O114" t="s">
        <v>23</v>
      </c>
    </row>
    <row r="115" spans="1:15" x14ac:dyDescent="0.35">
      <c r="A115">
        <v>375</v>
      </c>
      <c r="B115" t="s">
        <v>400</v>
      </c>
      <c r="C115">
        <v>42</v>
      </c>
      <c r="D115" t="str">
        <f t="shared" si="3"/>
        <v>Mid Adults</v>
      </c>
      <c r="E115" t="s">
        <v>35</v>
      </c>
      <c r="F115" t="s">
        <v>27</v>
      </c>
      <c r="G115">
        <v>9067</v>
      </c>
      <c r="H115" t="str">
        <f t="shared" si="4"/>
        <v>8000 - 10,000</v>
      </c>
      <c r="I115" s="1">
        <v>42809</v>
      </c>
      <c r="J115">
        <v>5</v>
      </c>
      <c r="K115">
        <v>5</v>
      </c>
      <c r="L115" t="str">
        <f t="shared" si="5"/>
        <v>Senior Level</v>
      </c>
      <c r="M115" t="s">
        <v>15</v>
      </c>
      <c r="N115" t="s">
        <v>16</v>
      </c>
      <c r="O115" t="s">
        <v>25</v>
      </c>
    </row>
    <row r="116" spans="1:15" x14ac:dyDescent="0.35">
      <c r="A116">
        <v>377</v>
      </c>
      <c r="B116" t="s">
        <v>402</v>
      </c>
      <c r="C116">
        <v>64</v>
      </c>
      <c r="D116" t="str">
        <f t="shared" si="3"/>
        <v>Seniors</v>
      </c>
      <c r="E116" t="s">
        <v>13</v>
      </c>
      <c r="F116" t="s">
        <v>20</v>
      </c>
      <c r="G116">
        <v>5606</v>
      </c>
      <c r="H116" t="str">
        <f t="shared" si="4"/>
        <v>4000 - 6000</v>
      </c>
      <c r="I116" s="1">
        <v>42221</v>
      </c>
      <c r="J116">
        <v>5</v>
      </c>
      <c r="K116">
        <v>19</v>
      </c>
      <c r="L116" t="str">
        <f t="shared" si="5"/>
        <v>Manager</v>
      </c>
      <c r="M116" t="s">
        <v>15</v>
      </c>
      <c r="N116" t="s">
        <v>16</v>
      </c>
      <c r="O116" t="s">
        <v>23</v>
      </c>
    </row>
    <row r="117" spans="1:15" x14ac:dyDescent="0.35">
      <c r="A117">
        <v>378</v>
      </c>
      <c r="B117" t="s">
        <v>403</v>
      </c>
      <c r="C117">
        <v>63</v>
      </c>
      <c r="D117" t="str">
        <f t="shared" si="3"/>
        <v>Seniors</v>
      </c>
      <c r="E117" t="s">
        <v>35</v>
      </c>
      <c r="F117" t="s">
        <v>20</v>
      </c>
      <c r="G117">
        <v>6013</v>
      </c>
      <c r="H117" t="str">
        <f t="shared" si="4"/>
        <v>6000 - 8000</v>
      </c>
      <c r="I117" s="1">
        <v>45197</v>
      </c>
      <c r="J117">
        <v>0</v>
      </c>
      <c r="K117">
        <v>10</v>
      </c>
      <c r="L117" t="str">
        <f t="shared" si="5"/>
        <v>Consultant</v>
      </c>
      <c r="M117" t="s">
        <v>15</v>
      </c>
      <c r="N117" t="s">
        <v>30</v>
      </c>
      <c r="O117" t="s">
        <v>17</v>
      </c>
    </row>
    <row r="118" spans="1:15" x14ac:dyDescent="0.35">
      <c r="A118">
        <v>379</v>
      </c>
      <c r="B118" t="s">
        <v>404</v>
      </c>
      <c r="C118">
        <v>26</v>
      </c>
      <c r="D118" t="str">
        <f t="shared" si="3"/>
        <v>Early Adults</v>
      </c>
      <c r="E118" t="s">
        <v>13</v>
      </c>
      <c r="F118" t="s">
        <v>20</v>
      </c>
      <c r="G118">
        <v>3556</v>
      </c>
      <c r="H118" t="str">
        <f t="shared" si="4"/>
        <v>2000 - 4000</v>
      </c>
      <c r="I118" s="1">
        <v>44506</v>
      </c>
      <c r="J118">
        <v>0</v>
      </c>
      <c r="K118">
        <v>1</v>
      </c>
      <c r="L118" t="str">
        <f t="shared" si="5"/>
        <v>Junior</v>
      </c>
      <c r="M118" t="s">
        <v>15</v>
      </c>
      <c r="N118" t="s">
        <v>30</v>
      </c>
      <c r="O118" t="s">
        <v>17</v>
      </c>
    </row>
    <row r="119" spans="1:15" x14ac:dyDescent="0.35">
      <c r="A119">
        <v>385</v>
      </c>
      <c r="B119" t="s">
        <v>410</v>
      </c>
      <c r="C119">
        <v>33</v>
      </c>
      <c r="D119" t="str">
        <f t="shared" si="3"/>
        <v>Early Adults</v>
      </c>
      <c r="E119" t="s">
        <v>13</v>
      </c>
      <c r="F119" t="s">
        <v>20</v>
      </c>
      <c r="G119">
        <v>7941</v>
      </c>
      <c r="H119" t="str">
        <f t="shared" si="4"/>
        <v>6000 - 8000</v>
      </c>
      <c r="I119" s="1">
        <v>42971</v>
      </c>
      <c r="J119">
        <v>0</v>
      </c>
      <c r="K119">
        <v>14</v>
      </c>
      <c r="L119" t="str">
        <f t="shared" si="5"/>
        <v>Manager</v>
      </c>
      <c r="M119" t="s">
        <v>15</v>
      </c>
      <c r="N119" t="s">
        <v>22</v>
      </c>
      <c r="O119" t="s">
        <v>17</v>
      </c>
    </row>
    <row r="120" spans="1:15" x14ac:dyDescent="0.35">
      <c r="A120">
        <v>387</v>
      </c>
      <c r="B120" t="s">
        <v>412</v>
      </c>
      <c r="C120">
        <v>32</v>
      </c>
      <c r="D120" t="str">
        <f t="shared" si="3"/>
        <v>Early Adults</v>
      </c>
      <c r="E120" t="s">
        <v>35</v>
      </c>
      <c r="F120" t="s">
        <v>27</v>
      </c>
      <c r="G120">
        <v>7537</v>
      </c>
      <c r="H120" t="str">
        <f t="shared" si="4"/>
        <v>6000 - 8000</v>
      </c>
      <c r="I120" s="1">
        <v>43250</v>
      </c>
      <c r="J120">
        <v>0</v>
      </c>
      <c r="K120">
        <v>10</v>
      </c>
      <c r="L120" t="str">
        <f t="shared" si="5"/>
        <v>Consultant</v>
      </c>
      <c r="M120" t="s">
        <v>15</v>
      </c>
      <c r="N120" t="s">
        <v>16</v>
      </c>
      <c r="O120" t="s">
        <v>17</v>
      </c>
    </row>
    <row r="121" spans="1:15" x14ac:dyDescent="0.35">
      <c r="A121">
        <v>390</v>
      </c>
      <c r="B121" t="s">
        <v>415</v>
      </c>
      <c r="C121">
        <v>40</v>
      </c>
      <c r="D121" t="str">
        <f t="shared" si="3"/>
        <v>Mid Adults</v>
      </c>
      <c r="E121" t="s">
        <v>13</v>
      </c>
      <c r="F121" t="s">
        <v>14</v>
      </c>
      <c r="G121">
        <v>2567</v>
      </c>
      <c r="H121" t="str">
        <f t="shared" si="4"/>
        <v>2000 - 4000</v>
      </c>
      <c r="I121" s="1">
        <v>42606</v>
      </c>
      <c r="J121">
        <v>0</v>
      </c>
      <c r="K121">
        <v>15</v>
      </c>
      <c r="L121" t="str">
        <f t="shared" si="5"/>
        <v>Manager</v>
      </c>
      <c r="M121" t="s">
        <v>15</v>
      </c>
      <c r="N121" t="s">
        <v>30</v>
      </c>
      <c r="O121" t="s">
        <v>23</v>
      </c>
    </row>
    <row r="122" spans="1:15" x14ac:dyDescent="0.35">
      <c r="A122">
        <v>392</v>
      </c>
      <c r="B122" t="s">
        <v>46</v>
      </c>
      <c r="C122">
        <v>32</v>
      </c>
      <c r="D122" t="str">
        <f t="shared" si="3"/>
        <v>Early Adults</v>
      </c>
      <c r="E122" t="s">
        <v>13</v>
      </c>
      <c r="F122" t="s">
        <v>14</v>
      </c>
      <c r="G122">
        <v>6309</v>
      </c>
      <c r="H122" t="str">
        <f t="shared" si="4"/>
        <v>6000 - 8000</v>
      </c>
      <c r="I122" s="1">
        <v>45010</v>
      </c>
      <c r="J122">
        <v>5</v>
      </c>
      <c r="K122">
        <v>5</v>
      </c>
      <c r="L122" t="str">
        <f t="shared" si="5"/>
        <v>Senior Level</v>
      </c>
      <c r="M122" t="s">
        <v>15</v>
      </c>
      <c r="N122" t="s">
        <v>22</v>
      </c>
      <c r="O122" t="s">
        <v>23</v>
      </c>
    </row>
    <row r="123" spans="1:15" x14ac:dyDescent="0.35">
      <c r="A123">
        <v>394</v>
      </c>
      <c r="B123" t="s">
        <v>418</v>
      </c>
      <c r="C123">
        <v>34</v>
      </c>
      <c r="D123" t="str">
        <f t="shared" si="3"/>
        <v>Early Adults</v>
      </c>
      <c r="E123" t="s">
        <v>13</v>
      </c>
      <c r="F123" t="s">
        <v>27</v>
      </c>
      <c r="G123">
        <v>8079</v>
      </c>
      <c r="H123" t="str">
        <f t="shared" si="4"/>
        <v>8000 - 10,000</v>
      </c>
      <c r="I123" s="1">
        <v>45448</v>
      </c>
      <c r="J123">
        <v>2</v>
      </c>
      <c r="K123">
        <v>18</v>
      </c>
      <c r="L123" t="str">
        <f t="shared" si="5"/>
        <v>Manager</v>
      </c>
      <c r="M123" t="s">
        <v>15</v>
      </c>
      <c r="N123" t="s">
        <v>30</v>
      </c>
      <c r="O123" t="s">
        <v>25</v>
      </c>
    </row>
    <row r="124" spans="1:15" x14ac:dyDescent="0.35">
      <c r="A124">
        <v>395</v>
      </c>
      <c r="B124" t="s">
        <v>419</v>
      </c>
      <c r="C124">
        <v>22</v>
      </c>
      <c r="D124" t="str">
        <f t="shared" si="3"/>
        <v>Young Adults</v>
      </c>
      <c r="E124" t="s">
        <v>35</v>
      </c>
      <c r="F124" t="s">
        <v>14</v>
      </c>
      <c r="G124">
        <v>8844</v>
      </c>
      <c r="H124" t="str">
        <f t="shared" si="4"/>
        <v>8000 - 10,000</v>
      </c>
      <c r="I124" s="1">
        <v>43614</v>
      </c>
      <c r="J124">
        <v>1</v>
      </c>
      <c r="K124">
        <v>14</v>
      </c>
      <c r="L124" t="str">
        <f t="shared" si="5"/>
        <v>Manager</v>
      </c>
      <c r="M124" t="s">
        <v>15</v>
      </c>
      <c r="N124" t="s">
        <v>16</v>
      </c>
      <c r="O124" t="s">
        <v>25</v>
      </c>
    </row>
    <row r="125" spans="1:15" x14ac:dyDescent="0.35">
      <c r="A125">
        <v>396</v>
      </c>
      <c r="B125" t="s">
        <v>420</v>
      </c>
      <c r="C125">
        <v>64</v>
      </c>
      <c r="D125" t="str">
        <f t="shared" si="3"/>
        <v>Seniors</v>
      </c>
      <c r="E125" t="s">
        <v>35</v>
      </c>
      <c r="F125" t="s">
        <v>27</v>
      </c>
      <c r="G125">
        <v>5850</v>
      </c>
      <c r="H125" t="str">
        <f t="shared" si="4"/>
        <v>4000 - 6000</v>
      </c>
      <c r="I125" s="1">
        <v>42160</v>
      </c>
      <c r="J125">
        <v>2</v>
      </c>
      <c r="K125">
        <v>4</v>
      </c>
      <c r="L125" t="str">
        <f t="shared" si="5"/>
        <v>Mid-Level</v>
      </c>
      <c r="M125" t="s">
        <v>15</v>
      </c>
      <c r="N125" t="s">
        <v>16</v>
      </c>
      <c r="O125" t="s">
        <v>25</v>
      </c>
    </row>
    <row r="126" spans="1:15" x14ac:dyDescent="0.35">
      <c r="A126">
        <v>397</v>
      </c>
      <c r="B126" t="s">
        <v>421</v>
      </c>
      <c r="C126">
        <v>37</v>
      </c>
      <c r="D126" t="str">
        <f t="shared" si="3"/>
        <v>Mid Adults</v>
      </c>
      <c r="E126" t="s">
        <v>35</v>
      </c>
      <c r="F126" t="s">
        <v>14</v>
      </c>
      <c r="G126">
        <v>8104</v>
      </c>
      <c r="H126" t="str">
        <f t="shared" si="4"/>
        <v>8000 - 10,000</v>
      </c>
      <c r="I126" s="1">
        <v>44159</v>
      </c>
      <c r="J126">
        <v>0</v>
      </c>
      <c r="K126">
        <v>20</v>
      </c>
      <c r="L126" t="str">
        <f t="shared" si="5"/>
        <v>Manager</v>
      </c>
      <c r="M126" t="s">
        <v>15</v>
      </c>
      <c r="N126" t="s">
        <v>22</v>
      </c>
      <c r="O126" t="s">
        <v>25</v>
      </c>
    </row>
    <row r="127" spans="1:15" x14ac:dyDescent="0.35">
      <c r="A127">
        <v>398</v>
      </c>
      <c r="B127" t="s">
        <v>422</v>
      </c>
      <c r="C127">
        <v>57</v>
      </c>
      <c r="D127" t="str">
        <f t="shared" si="3"/>
        <v>Seniors</v>
      </c>
      <c r="E127" t="s">
        <v>35</v>
      </c>
      <c r="F127" t="s">
        <v>20</v>
      </c>
      <c r="G127">
        <v>6316</v>
      </c>
      <c r="H127" t="str">
        <f t="shared" si="4"/>
        <v>6000 - 8000</v>
      </c>
      <c r="I127" s="1">
        <v>44568</v>
      </c>
      <c r="J127">
        <v>1</v>
      </c>
      <c r="K127">
        <v>13</v>
      </c>
      <c r="L127" t="str">
        <f t="shared" si="5"/>
        <v>Manager</v>
      </c>
      <c r="M127" t="s">
        <v>15</v>
      </c>
      <c r="N127" t="s">
        <v>16</v>
      </c>
      <c r="O127" t="s">
        <v>25</v>
      </c>
    </row>
    <row r="128" spans="1:15" x14ac:dyDescent="0.35">
      <c r="A128">
        <v>400</v>
      </c>
      <c r="B128" t="s">
        <v>424</v>
      </c>
      <c r="C128">
        <v>63</v>
      </c>
      <c r="D128" t="str">
        <f t="shared" si="3"/>
        <v>Seniors</v>
      </c>
      <c r="E128" t="s">
        <v>35</v>
      </c>
      <c r="F128" t="s">
        <v>20</v>
      </c>
      <c r="G128">
        <v>2418</v>
      </c>
      <c r="H128" t="str">
        <f t="shared" si="4"/>
        <v>2000 - 4000</v>
      </c>
      <c r="I128" s="1">
        <v>43333</v>
      </c>
      <c r="J128">
        <v>0</v>
      </c>
      <c r="K128">
        <v>7</v>
      </c>
      <c r="L128" t="str">
        <f t="shared" si="5"/>
        <v>Senior Level</v>
      </c>
      <c r="M128" t="s">
        <v>15</v>
      </c>
      <c r="N128" t="s">
        <v>22</v>
      </c>
      <c r="O128" t="s">
        <v>17</v>
      </c>
    </row>
    <row r="129" spans="1:15" x14ac:dyDescent="0.35">
      <c r="A129">
        <v>401</v>
      </c>
      <c r="B129" t="s">
        <v>425</v>
      </c>
      <c r="C129">
        <v>35</v>
      </c>
      <c r="D129" t="str">
        <f t="shared" si="3"/>
        <v>Mid Adults</v>
      </c>
      <c r="E129" t="s">
        <v>13</v>
      </c>
      <c r="F129" t="s">
        <v>20</v>
      </c>
      <c r="G129">
        <v>6638</v>
      </c>
      <c r="H129" t="str">
        <f t="shared" si="4"/>
        <v>6000 - 8000</v>
      </c>
      <c r="I129" s="1">
        <v>42735</v>
      </c>
      <c r="J129">
        <v>0</v>
      </c>
      <c r="K129">
        <v>13</v>
      </c>
      <c r="L129" t="str">
        <f t="shared" si="5"/>
        <v>Manager</v>
      </c>
      <c r="M129" t="s">
        <v>15</v>
      </c>
      <c r="N129" t="s">
        <v>30</v>
      </c>
      <c r="O129" t="s">
        <v>25</v>
      </c>
    </row>
    <row r="130" spans="1:15" x14ac:dyDescent="0.35">
      <c r="A130">
        <v>404</v>
      </c>
      <c r="B130" t="s">
        <v>428</v>
      </c>
      <c r="C130">
        <v>40</v>
      </c>
      <c r="D130" t="str">
        <f t="shared" si="3"/>
        <v>Mid Adults</v>
      </c>
      <c r="E130" t="s">
        <v>13</v>
      </c>
      <c r="F130" t="s">
        <v>27</v>
      </c>
      <c r="G130">
        <v>9276</v>
      </c>
      <c r="H130" t="str">
        <f t="shared" si="4"/>
        <v>8000 - 10,000</v>
      </c>
      <c r="I130" s="1">
        <v>42640</v>
      </c>
      <c r="J130">
        <v>0</v>
      </c>
      <c r="K130">
        <v>12</v>
      </c>
      <c r="L130" t="str">
        <f t="shared" si="5"/>
        <v>Manager</v>
      </c>
      <c r="M130" t="s">
        <v>15</v>
      </c>
      <c r="N130" t="s">
        <v>30</v>
      </c>
      <c r="O130" t="s">
        <v>25</v>
      </c>
    </row>
    <row r="131" spans="1:15" x14ac:dyDescent="0.35">
      <c r="A131">
        <v>408</v>
      </c>
      <c r="B131" t="s">
        <v>432</v>
      </c>
      <c r="C131">
        <v>22</v>
      </c>
      <c r="D131" t="str">
        <f t="shared" ref="D131:D194" si="6">IF(C:C&gt;=55,"Seniors",IF(C:C&gt;=45,"Mature Adults",IF(C:C&gt;=35,"Mid Adults",IF(C:C&gt;=25,"Early Adults",IF(C:C&gt;=18,"Young Adults")))))</f>
        <v>Young Adults</v>
      </c>
      <c r="E131" t="s">
        <v>13</v>
      </c>
      <c r="F131" t="s">
        <v>14</v>
      </c>
      <c r="G131">
        <v>7728</v>
      </c>
      <c r="H131" t="str">
        <f t="shared" ref="H131:H194" si="7">IF(G:G&gt;=8000,"8000 - 10,000",IF(G:G&gt;=6000,"6000 - 8000",IF(G:G&gt;=4000,"4000 - 6000",IF(G:G&gt;=2000,"2000 - 4000"))))</f>
        <v>6000 - 8000</v>
      </c>
      <c r="I131" s="1">
        <v>43002</v>
      </c>
      <c r="J131">
        <v>2</v>
      </c>
      <c r="K131">
        <v>17</v>
      </c>
      <c r="L131" t="str">
        <f t="shared" ref="L131:L194" si="8">IF(K:K&gt;=12,"Manager",IF(K:K&gt;=8,"Consultant",IF(K:K&gt;=5,"Senior Level",IF(K:K&gt;=3,"Mid-Level",IF(K:K&gt;=1,"Junior")))))</f>
        <v>Manager</v>
      </c>
      <c r="M131" t="s">
        <v>15</v>
      </c>
      <c r="N131" t="s">
        <v>22</v>
      </c>
      <c r="O131" t="s">
        <v>17</v>
      </c>
    </row>
    <row r="132" spans="1:15" x14ac:dyDescent="0.35">
      <c r="A132">
        <v>412</v>
      </c>
      <c r="B132" t="s">
        <v>436</v>
      </c>
      <c r="C132">
        <v>52</v>
      </c>
      <c r="D132" t="str">
        <f t="shared" si="6"/>
        <v>Mature Adults</v>
      </c>
      <c r="E132" t="s">
        <v>13</v>
      </c>
      <c r="F132" t="s">
        <v>20</v>
      </c>
      <c r="G132">
        <v>3739</v>
      </c>
      <c r="H132" t="str">
        <f t="shared" si="7"/>
        <v>2000 - 4000</v>
      </c>
      <c r="I132" s="1">
        <v>42550</v>
      </c>
      <c r="J132">
        <v>5</v>
      </c>
      <c r="K132">
        <v>5</v>
      </c>
      <c r="L132" t="str">
        <f t="shared" si="8"/>
        <v>Senior Level</v>
      </c>
      <c r="M132" t="s">
        <v>15</v>
      </c>
      <c r="N132" t="s">
        <v>22</v>
      </c>
      <c r="O132" t="s">
        <v>23</v>
      </c>
    </row>
    <row r="133" spans="1:15" x14ac:dyDescent="0.35">
      <c r="A133">
        <v>413</v>
      </c>
      <c r="B133" t="s">
        <v>437</v>
      </c>
      <c r="C133">
        <v>27</v>
      </c>
      <c r="D133" t="str">
        <f t="shared" si="6"/>
        <v>Early Adults</v>
      </c>
      <c r="E133" t="s">
        <v>35</v>
      </c>
      <c r="F133" t="s">
        <v>20</v>
      </c>
      <c r="G133">
        <v>4777</v>
      </c>
      <c r="H133" t="str">
        <f t="shared" si="7"/>
        <v>4000 - 6000</v>
      </c>
      <c r="I133" s="1">
        <v>45224</v>
      </c>
      <c r="J133">
        <v>5</v>
      </c>
      <c r="K133">
        <v>12</v>
      </c>
      <c r="L133" t="str">
        <f t="shared" si="8"/>
        <v>Manager</v>
      </c>
      <c r="M133" t="s">
        <v>15</v>
      </c>
      <c r="N133" t="s">
        <v>30</v>
      </c>
      <c r="O133" t="s">
        <v>25</v>
      </c>
    </row>
    <row r="134" spans="1:15" x14ac:dyDescent="0.35">
      <c r="A134">
        <v>416</v>
      </c>
      <c r="B134" t="s">
        <v>440</v>
      </c>
      <c r="C134">
        <v>43</v>
      </c>
      <c r="D134" t="str">
        <f t="shared" si="6"/>
        <v>Mid Adults</v>
      </c>
      <c r="E134" t="s">
        <v>13</v>
      </c>
      <c r="F134" t="s">
        <v>27</v>
      </c>
      <c r="G134">
        <v>4117</v>
      </c>
      <c r="H134" t="str">
        <f t="shared" si="7"/>
        <v>4000 - 6000</v>
      </c>
      <c r="I134" s="1">
        <v>42297</v>
      </c>
      <c r="J134">
        <v>0</v>
      </c>
      <c r="K134">
        <v>5</v>
      </c>
      <c r="L134" t="str">
        <f t="shared" si="8"/>
        <v>Senior Level</v>
      </c>
      <c r="M134" t="s">
        <v>15</v>
      </c>
      <c r="N134" t="s">
        <v>22</v>
      </c>
      <c r="O134" t="s">
        <v>17</v>
      </c>
    </row>
    <row r="135" spans="1:15" x14ac:dyDescent="0.35">
      <c r="A135">
        <v>418</v>
      </c>
      <c r="B135" t="s">
        <v>442</v>
      </c>
      <c r="C135">
        <v>39</v>
      </c>
      <c r="D135" t="str">
        <f t="shared" si="6"/>
        <v>Mid Adults</v>
      </c>
      <c r="E135" t="s">
        <v>35</v>
      </c>
      <c r="F135" t="s">
        <v>14</v>
      </c>
      <c r="G135">
        <v>3677</v>
      </c>
      <c r="H135" t="str">
        <f t="shared" si="7"/>
        <v>2000 - 4000</v>
      </c>
      <c r="I135" s="1">
        <v>42220</v>
      </c>
      <c r="J135">
        <v>0</v>
      </c>
      <c r="K135">
        <v>3</v>
      </c>
      <c r="L135" t="str">
        <f t="shared" si="8"/>
        <v>Mid-Level</v>
      </c>
      <c r="M135" t="s">
        <v>15</v>
      </c>
      <c r="N135" t="s">
        <v>16</v>
      </c>
      <c r="O135" t="s">
        <v>23</v>
      </c>
    </row>
    <row r="136" spans="1:15" x14ac:dyDescent="0.35">
      <c r="A136">
        <v>419</v>
      </c>
      <c r="B136" t="s">
        <v>443</v>
      </c>
      <c r="C136">
        <v>27</v>
      </c>
      <c r="D136" t="str">
        <f t="shared" si="6"/>
        <v>Early Adults</v>
      </c>
      <c r="E136" t="s">
        <v>35</v>
      </c>
      <c r="F136" t="s">
        <v>14</v>
      </c>
      <c r="G136">
        <v>5837</v>
      </c>
      <c r="H136" t="str">
        <f t="shared" si="7"/>
        <v>4000 - 6000</v>
      </c>
      <c r="I136" s="1">
        <v>45612</v>
      </c>
      <c r="J136">
        <v>0</v>
      </c>
      <c r="K136">
        <v>14</v>
      </c>
      <c r="L136" t="str">
        <f t="shared" si="8"/>
        <v>Manager</v>
      </c>
      <c r="M136" t="s">
        <v>15</v>
      </c>
      <c r="N136" t="s">
        <v>16</v>
      </c>
      <c r="O136" t="s">
        <v>25</v>
      </c>
    </row>
    <row r="137" spans="1:15" x14ac:dyDescent="0.35">
      <c r="A137">
        <v>420</v>
      </c>
      <c r="B137" t="s">
        <v>444</v>
      </c>
      <c r="C137">
        <v>64</v>
      </c>
      <c r="D137" t="str">
        <f t="shared" si="6"/>
        <v>Seniors</v>
      </c>
      <c r="E137" t="s">
        <v>35</v>
      </c>
      <c r="F137" t="s">
        <v>20</v>
      </c>
      <c r="G137">
        <v>8406</v>
      </c>
      <c r="H137" t="str">
        <f t="shared" si="7"/>
        <v>8000 - 10,000</v>
      </c>
      <c r="I137" s="1">
        <v>45585</v>
      </c>
      <c r="J137">
        <v>0</v>
      </c>
      <c r="K137">
        <v>7</v>
      </c>
      <c r="L137" t="str">
        <f t="shared" si="8"/>
        <v>Senior Level</v>
      </c>
      <c r="M137" t="s">
        <v>15</v>
      </c>
      <c r="N137" t="s">
        <v>30</v>
      </c>
      <c r="O137" t="s">
        <v>23</v>
      </c>
    </row>
    <row r="138" spans="1:15" x14ac:dyDescent="0.35">
      <c r="A138">
        <v>422</v>
      </c>
      <c r="B138" t="s">
        <v>446</v>
      </c>
      <c r="C138">
        <v>19</v>
      </c>
      <c r="D138" t="str">
        <f t="shared" si="6"/>
        <v>Young Adults</v>
      </c>
      <c r="E138" t="s">
        <v>13</v>
      </c>
      <c r="F138" t="s">
        <v>27</v>
      </c>
      <c r="G138">
        <v>8798</v>
      </c>
      <c r="H138" t="str">
        <f t="shared" si="7"/>
        <v>8000 - 10,000</v>
      </c>
      <c r="I138" s="1">
        <v>42162</v>
      </c>
      <c r="J138">
        <v>5</v>
      </c>
      <c r="K138">
        <v>15</v>
      </c>
      <c r="L138" t="str">
        <f t="shared" si="8"/>
        <v>Manager</v>
      </c>
      <c r="M138" t="s">
        <v>15</v>
      </c>
      <c r="N138" t="s">
        <v>22</v>
      </c>
      <c r="O138" t="s">
        <v>23</v>
      </c>
    </row>
    <row r="139" spans="1:15" x14ac:dyDescent="0.35">
      <c r="A139">
        <v>423</v>
      </c>
      <c r="B139" t="s">
        <v>447</v>
      </c>
      <c r="C139">
        <v>30</v>
      </c>
      <c r="D139" t="str">
        <f t="shared" si="6"/>
        <v>Early Adults</v>
      </c>
      <c r="E139" t="s">
        <v>35</v>
      </c>
      <c r="F139" t="s">
        <v>27</v>
      </c>
      <c r="G139">
        <v>5836</v>
      </c>
      <c r="H139" t="str">
        <f t="shared" si="7"/>
        <v>4000 - 6000</v>
      </c>
      <c r="I139" s="1">
        <v>44990</v>
      </c>
      <c r="J139">
        <v>0</v>
      </c>
      <c r="K139">
        <v>11</v>
      </c>
      <c r="L139" t="str">
        <f t="shared" si="8"/>
        <v>Consultant</v>
      </c>
      <c r="M139" t="s">
        <v>15</v>
      </c>
      <c r="N139" t="s">
        <v>16</v>
      </c>
      <c r="O139" t="s">
        <v>23</v>
      </c>
    </row>
    <row r="140" spans="1:15" x14ac:dyDescent="0.35">
      <c r="A140">
        <v>430</v>
      </c>
      <c r="B140" t="s">
        <v>454</v>
      </c>
      <c r="C140">
        <v>62</v>
      </c>
      <c r="D140" t="str">
        <f t="shared" si="6"/>
        <v>Seniors</v>
      </c>
      <c r="E140" t="s">
        <v>13</v>
      </c>
      <c r="F140" t="s">
        <v>27</v>
      </c>
      <c r="G140">
        <v>4753</v>
      </c>
      <c r="H140" t="str">
        <f t="shared" si="7"/>
        <v>4000 - 6000</v>
      </c>
      <c r="I140" s="1">
        <v>43995</v>
      </c>
      <c r="J140">
        <v>0</v>
      </c>
      <c r="K140">
        <v>20</v>
      </c>
      <c r="L140" t="str">
        <f t="shared" si="8"/>
        <v>Manager</v>
      </c>
      <c r="M140" t="s">
        <v>15</v>
      </c>
      <c r="N140" t="s">
        <v>22</v>
      </c>
      <c r="O140" t="s">
        <v>25</v>
      </c>
    </row>
    <row r="141" spans="1:15" x14ac:dyDescent="0.35">
      <c r="A141">
        <v>434</v>
      </c>
      <c r="B141" t="s">
        <v>458</v>
      </c>
      <c r="C141">
        <v>26</v>
      </c>
      <c r="D141" t="str">
        <f t="shared" si="6"/>
        <v>Early Adults</v>
      </c>
      <c r="E141" t="s">
        <v>13</v>
      </c>
      <c r="F141" t="s">
        <v>14</v>
      </c>
      <c r="G141">
        <v>6763</v>
      </c>
      <c r="H141" t="str">
        <f t="shared" si="7"/>
        <v>6000 - 8000</v>
      </c>
      <c r="I141" s="1">
        <v>42844</v>
      </c>
      <c r="J141">
        <v>1</v>
      </c>
      <c r="K141">
        <v>16</v>
      </c>
      <c r="L141" t="str">
        <f t="shared" si="8"/>
        <v>Manager</v>
      </c>
      <c r="M141" t="s">
        <v>15</v>
      </c>
      <c r="N141" t="s">
        <v>22</v>
      </c>
      <c r="O141" t="s">
        <v>25</v>
      </c>
    </row>
    <row r="142" spans="1:15" x14ac:dyDescent="0.35">
      <c r="A142">
        <v>436</v>
      </c>
      <c r="B142" t="s">
        <v>460</v>
      </c>
      <c r="C142">
        <v>37</v>
      </c>
      <c r="D142" t="str">
        <f t="shared" si="6"/>
        <v>Mid Adults</v>
      </c>
      <c r="E142" t="s">
        <v>35</v>
      </c>
      <c r="F142" t="s">
        <v>14</v>
      </c>
      <c r="G142">
        <v>5439</v>
      </c>
      <c r="H142" t="str">
        <f t="shared" si="7"/>
        <v>4000 - 6000</v>
      </c>
      <c r="I142" s="1">
        <v>42544</v>
      </c>
      <c r="J142">
        <v>2</v>
      </c>
      <c r="K142">
        <v>14</v>
      </c>
      <c r="L142" t="str">
        <f t="shared" si="8"/>
        <v>Manager</v>
      </c>
      <c r="M142" t="s">
        <v>15</v>
      </c>
      <c r="N142" t="s">
        <v>30</v>
      </c>
      <c r="O142" t="s">
        <v>25</v>
      </c>
    </row>
    <row r="143" spans="1:15" x14ac:dyDescent="0.35">
      <c r="A143">
        <v>441</v>
      </c>
      <c r="B143" t="s">
        <v>465</v>
      </c>
      <c r="C143">
        <v>43</v>
      </c>
      <c r="D143" t="str">
        <f t="shared" si="6"/>
        <v>Mid Adults</v>
      </c>
      <c r="E143" t="s">
        <v>13</v>
      </c>
      <c r="F143" t="s">
        <v>20</v>
      </c>
      <c r="G143">
        <v>4246</v>
      </c>
      <c r="H143" t="str">
        <f t="shared" si="7"/>
        <v>4000 - 6000</v>
      </c>
      <c r="I143" s="1">
        <v>43628</v>
      </c>
      <c r="J143">
        <v>0</v>
      </c>
      <c r="K143">
        <v>11</v>
      </c>
      <c r="L143" t="str">
        <f t="shared" si="8"/>
        <v>Consultant</v>
      </c>
      <c r="M143" t="s">
        <v>15</v>
      </c>
      <c r="N143" t="s">
        <v>22</v>
      </c>
      <c r="O143" t="s">
        <v>23</v>
      </c>
    </row>
    <row r="144" spans="1:15" x14ac:dyDescent="0.35">
      <c r="A144">
        <v>444</v>
      </c>
      <c r="B144" t="s">
        <v>468</v>
      </c>
      <c r="C144">
        <v>65</v>
      </c>
      <c r="D144" t="str">
        <f t="shared" si="6"/>
        <v>Seniors</v>
      </c>
      <c r="E144" t="s">
        <v>13</v>
      </c>
      <c r="F144" t="s">
        <v>27</v>
      </c>
      <c r="G144">
        <v>6442</v>
      </c>
      <c r="H144" t="str">
        <f t="shared" si="7"/>
        <v>6000 - 8000</v>
      </c>
      <c r="I144" s="1">
        <v>43484</v>
      </c>
      <c r="J144">
        <v>4</v>
      </c>
      <c r="K144">
        <v>14</v>
      </c>
      <c r="L144" t="str">
        <f t="shared" si="8"/>
        <v>Manager</v>
      </c>
      <c r="M144" t="s">
        <v>15</v>
      </c>
      <c r="N144" t="s">
        <v>16</v>
      </c>
      <c r="O144" t="s">
        <v>23</v>
      </c>
    </row>
    <row r="145" spans="1:15" x14ac:dyDescent="0.35">
      <c r="A145">
        <v>445</v>
      </c>
      <c r="B145" t="s">
        <v>469</v>
      </c>
      <c r="C145">
        <v>48</v>
      </c>
      <c r="D145" t="str">
        <f t="shared" si="6"/>
        <v>Mature Adults</v>
      </c>
      <c r="E145" t="s">
        <v>13</v>
      </c>
      <c r="F145" t="s">
        <v>14</v>
      </c>
      <c r="G145">
        <v>4183</v>
      </c>
      <c r="H145" t="str">
        <f t="shared" si="7"/>
        <v>4000 - 6000</v>
      </c>
      <c r="I145" s="1">
        <v>44107</v>
      </c>
      <c r="J145">
        <v>4</v>
      </c>
      <c r="K145">
        <v>6</v>
      </c>
      <c r="L145" t="str">
        <f t="shared" si="8"/>
        <v>Senior Level</v>
      </c>
      <c r="M145" t="s">
        <v>15</v>
      </c>
      <c r="N145" t="s">
        <v>30</v>
      </c>
      <c r="O145" t="s">
        <v>23</v>
      </c>
    </row>
    <row r="146" spans="1:15" x14ac:dyDescent="0.35">
      <c r="A146">
        <v>447</v>
      </c>
      <c r="B146" t="s">
        <v>471</v>
      </c>
      <c r="C146">
        <v>45</v>
      </c>
      <c r="D146" t="str">
        <f t="shared" si="6"/>
        <v>Mature Adults</v>
      </c>
      <c r="E146" t="s">
        <v>13</v>
      </c>
      <c r="F146" t="s">
        <v>14</v>
      </c>
      <c r="G146">
        <v>8888</v>
      </c>
      <c r="H146" t="str">
        <f t="shared" si="7"/>
        <v>8000 - 10,000</v>
      </c>
      <c r="I146" s="1">
        <v>45149</v>
      </c>
      <c r="J146">
        <v>0</v>
      </c>
      <c r="K146">
        <v>13</v>
      </c>
      <c r="L146" t="str">
        <f t="shared" si="8"/>
        <v>Manager</v>
      </c>
      <c r="M146" t="s">
        <v>15</v>
      </c>
      <c r="N146" t="s">
        <v>30</v>
      </c>
      <c r="O146" t="s">
        <v>23</v>
      </c>
    </row>
    <row r="147" spans="1:15" x14ac:dyDescent="0.35">
      <c r="A147">
        <v>448</v>
      </c>
      <c r="B147" t="s">
        <v>472</v>
      </c>
      <c r="C147">
        <v>57</v>
      </c>
      <c r="D147" t="str">
        <f t="shared" si="6"/>
        <v>Seniors</v>
      </c>
      <c r="E147" t="s">
        <v>13</v>
      </c>
      <c r="F147" t="s">
        <v>14</v>
      </c>
      <c r="G147">
        <v>8958</v>
      </c>
      <c r="H147" t="str">
        <f t="shared" si="7"/>
        <v>8000 - 10,000</v>
      </c>
      <c r="I147" s="1">
        <v>44354</v>
      </c>
      <c r="J147">
        <v>1</v>
      </c>
      <c r="K147">
        <v>1</v>
      </c>
      <c r="L147" t="str">
        <f t="shared" si="8"/>
        <v>Junior</v>
      </c>
      <c r="M147" t="s">
        <v>15</v>
      </c>
      <c r="N147" t="s">
        <v>30</v>
      </c>
      <c r="O147" t="s">
        <v>25</v>
      </c>
    </row>
    <row r="148" spans="1:15" x14ac:dyDescent="0.35">
      <c r="A148">
        <v>452</v>
      </c>
      <c r="B148" t="s">
        <v>476</v>
      </c>
      <c r="C148">
        <v>41</v>
      </c>
      <c r="D148" t="str">
        <f t="shared" si="6"/>
        <v>Mid Adults</v>
      </c>
      <c r="E148" t="s">
        <v>13</v>
      </c>
      <c r="F148" t="s">
        <v>20</v>
      </c>
      <c r="G148">
        <v>3824</v>
      </c>
      <c r="H148" t="str">
        <f t="shared" si="7"/>
        <v>2000 - 4000</v>
      </c>
      <c r="I148" s="1">
        <v>43393</v>
      </c>
      <c r="J148">
        <v>0</v>
      </c>
      <c r="K148">
        <v>9</v>
      </c>
      <c r="L148" t="str">
        <f t="shared" si="8"/>
        <v>Consultant</v>
      </c>
      <c r="M148" t="s">
        <v>15</v>
      </c>
      <c r="N148" t="s">
        <v>16</v>
      </c>
      <c r="O148" t="s">
        <v>25</v>
      </c>
    </row>
    <row r="149" spans="1:15" x14ac:dyDescent="0.35">
      <c r="A149">
        <v>461</v>
      </c>
      <c r="B149" t="s">
        <v>485</v>
      </c>
      <c r="C149">
        <v>27</v>
      </c>
      <c r="D149" t="str">
        <f t="shared" si="6"/>
        <v>Early Adults</v>
      </c>
      <c r="E149" t="s">
        <v>13</v>
      </c>
      <c r="F149" t="s">
        <v>14</v>
      </c>
      <c r="G149">
        <v>9861</v>
      </c>
      <c r="H149" t="str">
        <f t="shared" si="7"/>
        <v>8000 - 10,000</v>
      </c>
      <c r="I149" s="1">
        <v>42099</v>
      </c>
      <c r="J149">
        <v>3</v>
      </c>
      <c r="K149">
        <v>10</v>
      </c>
      <c r="L149" t="str">
        <f t="shared" si="8"/>
        <v>Consultant</v>
      </c>
      <c r="M149" t="s">
        <v>15</v>
      </c>
      <c r="N149" t="s">
        <v>30</v>
      </c>
      <c r="O149" t="s">
        <v>25</v>
      </c>
    </row>
    <row r="150" spans="1:15" x14ac:dyDescent="0.35">
      <c r="A150">
        <v>465</v>
      </c>
      <c r="B150" t="s">
        <v>489</v>
      </c>
      <c r="C150">
        <v>35</v>
      </c>
      <c r="D150" t="str">
        <f t="shared" si="6"/>
        <v>Mid Adults</v>
      </c>
      <c r="E150" t="s">
        <v>13</v>
      </c>
      <c r="F150" t="s">
        <v>27</v>
      </c>
      <c r="G150">
        <v>6622</v>
      </c>
      <c r="H150" t="str">
        <f t="shared" si="7"/>
        <v>6000 - 8000</v>
      </c>
      <c r="I150" s="1">
        <v>43839</v>
      </c>
      <c r="J150">
        <v>0</v>
      </c>
      <c r="K150">
        <v>19</v>
      </c>
      <c r="L150" t="str">
        <f t="shared" si="8"/>
        <v>Manager</v>
      </c>
      <c r="M150" t="s">
        <v>15</v>
      </c>
      <c r="N150" t="s">
        <v>30</v>
      </c>
      <c r="O150" t="s">
        <v>17</v>
      </c>
    </row>
    <row r="151" spans="1:15" x14ac:dyDescent="0.35">
      <c r="A151">
        <v>466</v>
      </c>
      <c r="B151" t="s">
        <v>490</v>
      </c>
      <c r="C151">
        <v>21</v>
      </c>
      <c r="D151" t="str">
        <f t="shared" si="6"/>
        <v>Young Adults</v>
      </c>
      <c r="E151" t="s">
        <v>35</v>
      </c>
      <c r="F151" t="s">
        <v>27</v>
      </c>
      <c r="G151">
        <v>6980</v>
      </c>
      <c r="H151" t="str">
        <f t="shared" si="7"/>
        <v>6000 - 8000</v>
      </c>
      <c r="I151" s="1">
        <v>43173</v>
      </c>
      <c r="J151">
        <v>0</v>
      </c>
      <c r="K151">
        <v>1</v>
      </c>
      <c r="L151" t="str">
        <f t="shared" si="8"/>
        <v>Junior</v>
      </c>
      <c r="M151" t="s">
        <v>15</v>
      </c>
      <c r="N151" t="s">
        <v>22</v>
      </c>
      <c r="O151" t="s">
        <v>25</v>
      </c>
    </row>
    <row r="152" spans="1:15" x14ac:dyDescent="0.35">
      <c r="A152">
        <v>469</v>
      </c>
      <c r="B152" t="s">
        <v>493</v>
      </c>
      <c r="C152">
        <v>29</v>
      </c>
      <c r="D152" t="str">
        <f t="shared" si="6"/>
        <v>Early Adults</v>
      </c>
      <c r="E152" t="s">
        <v>13</v>
      </c>
      <c r="F152" t="s">
        <v>27</v>
      </c>
      <c r="G152">
        <v>4297</v>
      </c>
      <c r="H152" t="str">
        <f t="shared" si="7"/>
        <v>4000 - 6000</v>
      </c>
      <c r="I152" s="1">
        <v>45262</v>
      </c>
      <c r="J152">
        <v>4</v>
      </c>
      <c r="K152">
        <v>10</v>
      </c>
      <c r="L152" t="str">
        <f t="shared" si="8"/>
        <v>Consultant</v>
      </c>
      <c r="M152" t="s">
        <v>15</v>
      </c>
      <c r="N152" t="s">
        <v>30</v>
      </c>
      <c r="O152" t="s">
        <v>23</v>
      </c>
    </row>
    <row r="153" spans="1:15" x14ac:dyDescent="0.35">
      <c r="A153">
        <v>474</v>
      </c>
      <c r="B153" t="s">
        <v>498</v>
      </c>
      <c r="C153">
        <v>56</v>
      </c>
      <c r="D153" t="str">
        <f t="shared" si="6"/>
        <v>Seniors</v>
      </c>
      <c r="E153" t="s">
        <v>35</v>
      </c>
      <c r="F153" t="s">
        <v>27</v>
      </c>
      <c r="G153">
        <v>2016</v>
      </c>
      <c r="H153" t="str">
        <f t="shared" si="7"/>
        <v>2000 - 4000</v>
      </c>
      <c r="I153" s="1">
        <v>44025</v>
      </c>
      <c r="J153">
        <v>0</v>
      </c>
      <c r="K153">
        <v>18</v>
      </c>
      <c r="L153" t="str">
        <f t="shared" si="8"/>
        <v>Manager</v>
      </c>
      <c r="M153" t="s">
        <v>15</v>
      </c>
      <c r="N153" t="s">
        <v>16</v>
      </c>
      <c r="O153" t="s">
        <v>25</v>
      </c>
    </row>
    <row r="154" spans="1:15" x14ac:dyDescent="0.35">
      <c r="A154">
        <v>475</v>
      </c>
      <c r="B154" t="s">
        <v>499</v>
      </c>
      <c r="C154">
        <v>65</v>
      </c>
      <c r="D154" t="str">
        <f t="shared" si="6"/>
        <v>Seniors</v>
      </c>
      <c r="E154" t="s">
        <v>13</v>
      </c>
      <c r="F154" t="s">
        <v>20</v>
      </c>
      <c r="G154">
        <v>3820</v>
      </c>
      <c r="H154" t="str">
        <f t="shared" si="7"/>
        <v>2000 - 4000</v>
      </c>
      <c r="I154" s="1">
        <v>45325</v>
      </c>
      <c r="J154">
        <v>4</v>
      </c>
      <c r="K154">
        <v>2</v>
      </c>
      <c r="L154" t="str">
        <f t="shared" si="8"/>
        <v>Junior</v>
      </c>
      <c r="M154" t="s">
        <v>15</v>
      </c>
      <c r="N154" t="s">
        <v>30</v>
      </c>
      <c r="O154" t="s">
        <v>17</v>
      </c>
    </row>
    <row r="155" spans="1:15" x14ac:dyDescent="0.35">
      <c r="A155">
        <v>478</v>
      </c>
      <c r="B155" t="s">
        <v>502</v>
      </c>
      <c r="C155">
        <v>19</v>
      </c>
      <c r="D155" t="str">
        <f t="shared" si="6"/>
        <v>Young Adults</v>
      </c>
      <c r="E155" t="s">
        <v>35</v>
      </c>
      <c r="F155" t="s">
        <v>20</v>
      </c>
      <c r="G155">
        <v>8893</v>
      </c>
      <c r="H155" t="str">
        <f t="shared" si="7"/>
        <v>8000 - 10,000</v>
      </c>
      <c r="I155" s="1">
        <v>45610</v>
      </c>
      <c r="J155">
        <v>0</v>
      </c>
      <c r="K155">
        <v>7</v>
      </c>
      <c r="L155" t="str">
        <f t="shared" si="8"/>
        <v>Senior Level</v>
      </c>
      <c r="M155" t="s">
        <v>15</v>
      </c>
      <c r="N155" t="s">
        <v>30</v>
      </c>
      <c r="O155" t="s">
        <v>23</v>
      </c>
    </row>
    <row r="156" spans="1:15" x14ac:dyDescent="0.35">
      <c r="A156">
        <v>479</v>
      </c>
      <c r="B156" t="s">
        <v>503</v>
      </c>
      <c r="C156">
        <v>28</v>
      </c>
      <c r="D156" t="str">
        <f t="shared" si="6"/>
        <v>Early Adults</v>
      </c>
      <c r="E156" t="s">
        <v>35</v>
      </c>
      <c r="F156" t="s">
        <v>20</v>
      </c>
      <c r="G156">
        <v>8039</v>
      </c>
      <c r="H156" t="str">
        <f t="shared" si="7"/>
        <v>8000 - 10,000</v>
      </c>
      <c r="I156" s="1">
        <v>45477</v>
      </c>
      <c r="J156">
        <v>0</v>
      </c>
      <c r="K156">
        <v>8</v>
      </c>
      <c r="L156" t="str">
        <f t="shared" si="8"/>
        <v>Consultant</v>
      </c>
      <c r="M156" t="s">
        <v>15</v>
      </c>
      <c r="N156" t="s">
        <v>30</v>
      </c>
      <c r="O156" t="s">
        <v>23</v>
      </c>
    </row>
    <row r="157" spans="1:15" x14ac:dyDescent="0.35">
      <c r="A157">
        <v>482</v>
      </c>
      <c r="B157" t="s">
        <v>506</v>
      </c>
      <c r="C157">
        <v>28</v>
      </c>
      <c r="D157" t="str">
        <f t="shared" si="6"/>
        <v>Early Adults</v>
      </c>
      <c r="E157" t="s">
        <v>35</v>
      </c>
      <c r="F157" t="s">
        <v>27</v>
      </c>
      <c r="G157">
        <v>6725</v>
      </c>
      <c r="H157" t="str">
        <f t="shared" si="7"/>
        <v>6000 - 8000</v>
      </c>
      <c r="I157" s="1">
        <v>42584</v>
      </c>
      <c r="J157">
        <v>5</v>
      </c>
      <c r="K157">
        <v>16</v>
      </c>
      <c r="L157" t="str">
        <f t="shared" si="8"/>
        <v>Manager</v>
      </c>
      <c r="M157" t="s">
        <v>15</v>
      </c>
      <c r="N157" t="s">
        <v>30</v>
      </c>
      <c r="O157" t="s">
        <v>17</v>
      </c>
    </row>
    <row r="158" spans="1:15" x14ac:dyDescent="0.35">
      <c r="A158">
        <v>484</v>
      </c>
      <c r="B158" t="s">
        <v>508</v>
      </c>
      <c r="C158">
        <v>43</v>
      </c>
      <c r="D158" t="str">
        <f t="shared" si="6"/>
        <v>Mid Adults</v>
      </c>
      <c r="E158" t="s">
        <v>13</v>
      </c>
      <c r="F158" t="s">
        <v>27</v>
      </c>
      <c r="G158">
        <v>3929</v>
      </c>
      <c r="H158" t="str">
        <f t="shared" si="7"/>
        <v>2000 - 4000</v>
      </c>
      <c r="I158" s="1">
        <v>42792</v>
      </c>
      <c r="J158">
        <v>1</v>
      </c>
      <c r="K158">
        <v>17</v>
      </c>
      <c r="L158" t="str">
        <f t="shared" si="8"/>
        <v>Manager</v>
      </c>
      <c r="M158" t="s">
        <v>15</v>
      </c>
      <c r="N158" t="s">
        <v>30</v>
      </c>
      <c r="O158" t="s">
        <v>23</v>
      </c>
    </row>
    <row r="159" spans="1:15" x14ac:dyDescent="0.35">
      <c r="A159">
        <v>485</v>
      </c>
      <c r="B159" t="s">
        <v>509</v>
      </c>
      <c r="C159">
        <v>27</v>
      </c>
      <c r="D159" t="str">
        <f t="shared" si="6"/>
        <v>Early Adults</v>
      </c>
      <c r="E159" t="s">
        <v>35</v>
      </c>
      <c r="F159" t="s">
        <v>27</v>
      </c>
      <c r="G159">
        <v>6050</v>
      </c>
      <c r="H159" t="str">
        <f t="shared" si="7"/>
        <v>6000 - 8000</v>
      </c>
      <c r="I159" s="1">
        <v>43044</v>
      </c>
      <c r="J159">
        <v>5</v>
      </c>
      <c r="K159">
        <v>15</v>
      </c>
      <c r="L159" t="str">
        <f t="shared" si="8"/>
        <v>Manager</v>
      </c>
      <c r="M159" t="s">
        <v>15</v>
      </c>
      <c r="N159" t="s">
        <v>30</v>
      </c>
      <c r="O159" t="s">
        <v>17</v>
      </c>
    </row>
    <row r="160" spans="1:15" x14ac:dyDescent="0.35">
      <c r="A160">
        <v>486</v>
      </c>
      <c r="B160" t="s">
        <v>510</v>
      </c>
      <c r="C160">
        <v>64</v>
      </c>
      <c r="D160" t="str">
        <f t="shared" si="6"/>
        <v>Seniors</v>
      </c>
      <c r="E160" t="s">
        <v>35</v>
      </c>
      <c r="F160" t="s">
        <v>27</v>
      </c>
      <c r="G160">
        <v>8514</v>
      </c>
      <c r="H160" t="str">
        <f t="shared" si="7"/>
        <v>8000 - 10,000</v>
      </c>
      <c r="I160" s="1">
        <v>44337</v>
      </c>
      <c r="J160">
        <v>2</v>
      </c>
      <c r="K160">
        <v>8</v>
      </c>
      <c r="L160" t="str">
        <f t="shared" si="8"/>
        <v>Consultant</v>
      </c>
      <c r="M160" t="s">
        <v>15</v>
      </c>
      <c r="N160" t="s">
        <v>16</v>
      </c>
      <c r="O160" t="s">
        <v>25</v>
      </c>
    </row>
    <row r="161" spans="1:15" x14ac:dyDescent="0.35">
      <c r="A161">
        <v>501</v>
      </c>
      <c r="B161" t="s">
        <v>525</v>
      </c>
      <c r="C161">
        <v>22</v>
      </c>
      <c r="D161" t="str">
        <f t="shared" si="6"/>
        <v>Young Adults</v>
      </c>
      <c r="E161" t="s">
        <v>35</v>
      </c>
      <c r="F161" t="s">
        <v>14</v>
      </c>
      <c r="G161">
        <v>6558</v>
      </c>
      <c r="H161" t="str">
        <f t="shared" si="7"/>
        <v>6000 - 8000</v>
      </c>
      <c r="I161" s="1">
        <v>44499</v>
      </c>
      <c r="J161">
        <v>1</v>
      </c>
      <c r="K161">
        <v>14</v>
      </c>
      <c r="L161" t="str">
        <f t="shared" si="8"/>
        <v>Manager</v>
      </c>
      <c r="M161" t="s">
        <v>15</v>
      </c>
      <c r="N161" t="s">
        <v>30</v>
      </c>
      <c r="O161" t="s">
        <v>17</v>
      </c>
    </row>
    <row r="162" spans="1:15" x14ac:dyDescent="0.35">
      <c r="A162">
        <v>502</v>
      </c>
      <c r="B162" t="s">
        <v>526</v>
      </c>
      <c r="C162">
        <v>32</v>
      </c>
      <c r="D162" t="str">
        <f t="shared" si="6"/>
        <v>Early Adults</v>
      </c>
      <c r="E162" t="s">
        <v>35</v>
      </c>
      <c r="F162" t="s">
        <v>20</v>
      </c>
      <c r="G162">
        <v>7401</v>
      </c>
      <c r="H162" t="str">
        <f t="shared" si="7"/>
        <v>6000 - 8000</v>
      </c>
      <c r="I162" s="1">
        <v>44040</v>
      </c>
      <c r="J162">
        <v>0</v>
      </c>
      <c r="K162">
        <v>8</v>
      </c>
      <c r="L162" t="str">
        <f t="shared" si="8"/>
        <v>Consultant</v>
      </c>
      <c r="M162" t="s">
        <v>15</v>
      </c>
      <c r="N162" t="s">
        <v>22</v>
      </c>
      <c r="O162" t="s">
        <v>23</v>
      </c>
    </row>
    <row r="163" spans="1:15" x14ac:dyDescent="0.35">
      <c r="A163">
        <v>503</v>
      </c>
      <c r="B163" t="s">
        <v>527</v>
      </c>
      <c r="C163">
        <v>28</v>
      </c>
      <c r="D163" t="str">
        <f t="shared" si="6"/>
        <v>Early Adults</v>
      </c>
      <c r="E163" t="s">
        <v>13</v>
      </c>
      <c r="F163" t="s">
        <v>27</v>
      </c>
      <c r="G163">
        <v>8308</v>
      </c>
      <c r="H163" t="str">
        <f t="shared" si="7"/>
        <v>8000 - 10,000</v>
      </c>
      <c r="I163" s="1">
        <v>43394</v>
      </c>
      <c r="J163">
        <v>5</v>
      </c>
      <c r="K163">
        <v>18</v>
      </c>
      <c r="L163" t="str">
        <f t="shared" si="8"/>
        <v>Manager</v>
      </c>
      <c r="M163" t="s">
        <v>15</v>
      </c>
      <c r="N163" t="s">
        <v>22</v>
      </c>
      <c r="O163" t="s">
        <v>17</v>
      </c>
    </row>
    <row r="164" spans="1:15" x14ac:dyDescent="0.35">
      <c r="A164">
        <v>504</v>
      </c>
      <c r="B164" t="s">
        <v>528</v>
      </c>
      <c r="C164">
        <v>25</v>
      </c>
      <c r="D164" t="str">
        <f t="shared" si="6"/>
        <v>Early Adults</v>
      </c>
      <c r="E164" t="s">
        <v>35</v>
      </c>
      <c r="F164" t="s">
        <v>20</v>
      </c>
      <c r="G164">
        <v>2712</v>
      </c>
      <c r="H164" t="str">
        <f t="shared" si="7"/>
        <v>2000 - 4000</v>
      </c>
      <c r="I164" s="1">
        <v>42518</v>
      </c>
      <c r="J164">
        <v>0</v>
      </c>
      <c r="K164">
        <v>10</v>
      </c>
      <c r="L164" t="str">
        <f t="shared" si="8"/>
        <v>Consultant</v>
      </c>
      <c r="M164" t="s">
        <v>15</v>
      </c>
      <c r="N164" t="s">
        <v>30</v>
      </c>
      <c r="O164" t="s">
        <v>25</v>
      </c>
    </row>
    <row r="165" spans="1:15" x14ac:dyDescent="0.35">
      <c r="A165">
        <v>509</v>
      </c>
      <c r="B165" t="s">
        <v>533</v>
      </c>
      <c r="C165">
        <v>32</v>
      </c>
      <c r="D165" t="str">
        <f t="shared" si="6"/>
        <v>Early Adults</v>
      </c>
      <c r="E165" t="s">
        <v>13</v>
      </c>
      <c r="F165" t="s">
        <v>27</v>
      </c>
      <c r="G165">
        <v>3726</v>
      </c>
      <c r="H165" t="str">
        <f t="shared" si="7"/>
        <v>2000 - 4000</v>
      </c>
      <c r="I165" s="1">
        <v>44480</v>
      </c>
      <c r="J165">
        <v>0</v>
      </c>
      <c r="K165">
        <v>4</v>
      </c>
      <c r="L165" t="str">
        <f t="shared" si="8"/>
        <v>Mid-Level</v>
      </c>
      <c r="M165" t="s">
        <v>15</v>
      </c>
      <c r="N165" t="s">
        <v>30</v>
      </c>
      <c r="O165" t="s">
        <v>17</v>
      </c>
    </row>
    <row r="166" spans="1:15" x14ac:dyDescent="0.35">
      <c r="A166">
        <v>511</v>
      </c>
      <c r="B166" t="s">
        <v>535</v>
      </c>
      <c r="C166">
        <v>24</v>
      </c>
      <c r="D166" t="str">
        <f t="shared" si="6"/>
        <v>Young Adults</v>
      </c>
      <c r="E166" t="s">
        <v>13</v>
      </c>
      <c r="F166" t="s">
        <v>27</v>
      </c>
      <c r="G166">
        <v>5716</v>
      </c>
      <c r="H166" t="str">
        <f t="shared" si="7"/>
        <v>4000 - 6000</v>
      </c>
      <c r="I166" s="1">
        <v>43812</v>
      </c>
      <c r="J166">
        <v>5</v>
      </c>
      <c r="K166">
        <v>15</v>
      </c>
      <c r="L166" t="str">
        <f t="shared" si="8"/>
        <v>Manager</v>
      </c>
      <c r="M166" t="s">
        <v>15</v>
      </c>
      <c r="N166" t="s">
        <v>30</v>
      </c>
      <c r="O166" t="s">
        <v>17</v>
      </c>
    </row>
    <row r="167" spans="1:15" x14ac:dyDescent="0.35">
      <c r="A167">
        <v>512</v>
      </c>
      <c r="B167" t="s">
        <v>536</v>
      </c>
      <c r="C167">
        <v>56</v>
      </c>
      <c r="D167" t="str">
        <f t="shared" si="6"/>
        <v>Seniors</v>
      </c>
      <c r="E167" t="s">
        <v>35</v>
      </c>
      <c r="F167" t="s">
        <v>14</v>
      </c>
      <c r="G167">
        <v>7339</v>
      </c>
      <c r="H167" t="str">
        <f t="shared" si="7"/>
        <v>6000 - 8000</v>
      </c>
      <c r="I167" s="1">
        <v>44932</v>
      </c>
      <c r="J167">
        <v>0</v>
      </c>
      <c r="K167">
        <v>1</v>
      </c>
      <c r="L167" t="str">
        <f t="shared" si="8"/>
        <v>Junior</v>
      </c>
      <c r="M167" t="s">
        <v>15</v>
      </c>
      <c r="N167" t="s">
        <v>16</v>
      </c>
      <c r="O167" t="s">
        <v>23</v>
      </c>
    </row>
    <row r="168" spans="1:15" x14ac:dyDescent="0.35">
      <c r="A168">
        <v>513</v>
      </c>
      <c r="B168" t="s">
        <v>537</v>
      </c>
      <c r="C168">
        <v>41</v>
      </c>
      <c r="D168" t="str">
        <f t="shared" si="6"/>
        <v>Mid Adults</v>
      </c>
      <c r="E168" t="s">
        <v>35</v>
      </c>
      <c r="F168" t="s">
        <v>14</v>
      </c>
      <c r="G168">
        <v>3067</v>
      </c>
      <c r="H168" t="str">
        <f t="shared" si="7"/>
        <v>2000 - 4000</v>
      </c>
      <c r="I168" s="1">
        <v>45266</v>
      </c>
      <c r="J168">
        <v>2</v>
      </c>
      <c r="K168">
        <v>19</v>
      </c>
      <c r="L168" t="str">
        <f t="shared" si="8"/>
        <v>Manager</v>
      </c>
      <c r="M168" t="s">
        <v>15</v>
      </c>
      <c r="N168" t="s">
        <v>22</v>
      </c>
      <c r="O168" t="s">
        <v>23</v>
      </c>
    </row>
    <row r="169" spans="1:15" x14ac:dyDescent="0.35">
      <c r="A169">
        <v>516</v>
      </c>
      <c r="B169" t="s">
        <v>540</v>
      </c>
      <c r="C169">
        <v>42</v>
      </c>
      <c r="D169" t="str">
        <f t="shared" si="6"/>
        <v>Mid Adults</v>
      </c>
      <c r="E169" t="s">
        <v>13</v>
      </c>
      <c r="F169" t="s">
        <v>27</v>
      </c>
      <c r="G169">
        <v>4243</v>
      </c>
      <c r="H169" t="str">
        <f t="shared" si="7"/>
        <v>4000 - 6000</v>
      </c>
      <c r="I169" s="1">
        <v>45070</v>
      </c>
      <c r="J169">
        <v>3</v>
      </c>
      <c r="K169">
        <v>2</v>
      </c>
      <c r="L169" t="str">
        <f t="shared" si="8"/>
        <v>Junior</v>
      </c>
      <c r="M169" t="s">
        <v>15</v>
      </c>
      <c r="N169" t="s">
        <v>22</v>
      </c>
      <c r="O169" t="s">
        <v>23</v>
      </c>
    </row>
    <row r="170" spans="1:15" x14ac:dyDescent="0.35">
      <c r="A170">
        <v>517</v>
      </c>
      <c r="B170" t="s">
        <v>541</v>
      </c>
      <c r="C170">
        <v>35</v>
      </c>
      <c r="D170" t="str">
        <f t="shared" si="6"/>
        <v>Mid Adults</v>
      </c>
      <c r="E170" t="s">
        <v>13</v>
      </c>
      <c r="F170" t="s">
        <v>20</v>
      </c>
      <c r="G170">
        <v>9630</v>
      </c>
      <c r="H170" t="str">
        <f t="shared" si="7"/>
        <v>8000 - 10,000</v>
      </c>
      <c r="I170" s="1">
        <v>43284</v>
      </c>
      <c r="J170">
        <v>0</v>
      </c>
      <c r="K170">
        <v>1</v>
      </c>
      <c r="L170" t="str">
        <f t="shared" si="8"/>
        <v>Junior</v>
      </c>
      <c r="M170" t="s">
        <v>15</v>
      </c>
      <c r="N170" t="s">
        <v>22</v>
      </c>
      <c r="O170" t="s">
        <v>17</v>
      </c>
    </row>
    <row r="171" spans="1:15" x14ac:dyDescent="0.35">
      <c r="A171">
        <v>519</v>
      </c>
      <c r="B171" t="s">
        <v>543</v>
      </c>
      <c r="C171">
        <v>46</v>
      </c>
      <c r="D171" t="str">
        <f t="shared" si="6"/>
        <v>Mature Adults</v>
      </c>
      <c r="E171" t="s">
        <v>13</v>
      </c>
      <c r="F171" t="s">
        <v>14</v>
      </c>
      <c r="G171">
        <v>6688</v>
      </c>
      <c r="H171" t="str">
        <f t="shared" si="7"/>
        <v>6000 - 8000</v>
      </c>
      <c r="I171" s="1">
        <v>43591</v>
      </c>
      <c r="J171">
        <v>0</v>
      </c>
      <c r="K171">
        <v>16</v>
      </c>
      <c r="L171" t="str">
        <f t="shared" si="8"/>
        <v>Manager</v>
      </c>
      <c r="M171" t="s">
        <v>15</v>
      </c>
      <c r="N171" t="s">
        <v>16</v>
      </c>
      <c r="O171" t="s">
        <v>17</v>
      </c>
    </row>
    <row r="172" spans="1:15" x14ac:dyDescent="0.35">
      <c r="A172">
        <v>522</v>
      </c>
      <c r="B172" t="s">
        <v>546</v>
      </c>
      <c r="C172">
        <v>18</v>
      </c>
      <c r="D172" t="str">
        <f t="shared" si="6"/>
        <v>Young Adults</v>
      </c>
      <c r="E172" t="s">
        <v>13</v>
      </c>
      <c r="F172" t="s">
        <v>14</v>
      </c>
      <c r="G172">
        <v>2302</v>
      </c>
      <c r="H172" t="str">
        <f t="shared" si="7"/>
        <v>2000 - 4000</v>
      </c>
      <c r="I172" s="1">
        <v>45299</v>
      </c>
      <c r="J172">
        <v>0</v>
      </c>
      <c r="K172">
        <v>6</v>
      </c>
      <c r="L172" t="str">
        <f t="shared" si="8"/>
        <v>Senior Level</v>
      </c>
      <c r="M172" t="s">
        <v>15</v>
      </c>
      <c r="N172" t="s">
        <v>16</v>
      </c>
      <c r="O172" t="s">
        <v>17</v>
      </c>
    </row>
    <row r="173" spans="1:15" x14ac:dyDescent="0.35">
      <c r="A173">
        <v>528</v>
      </c>
      <c r="B173" t="s">
        <v>552</v>
      </c>
      <c r="C173">
        <v>18</v>
      </c>
      <c r="D173" t="str">
        <f t="shared" si="6"/>
        <v>Young Adults</v>
      </c>
      <c r="E173" t="s">
        <v>35</v>
      </c>
      <c r="F173" t="s">
        <v>20</v>
      </c>
      <c r="G173">
        <v>4941</v>
      </c>
      <c r="H173" t="str">
        <f t="shared" si="7"/>
        <v>4000 - 6000</v>
      </c>
      <c r="I173" s="1">
        <v>44906</v>
      </c>
      <c r="J173">
        <v>5</v>
      </c>
      <c r="K173">
        <v>19</v>
      </c>
      <c r="L173" t="str">
        <f t="shared" si="8"/>
        <v>Manager</v>
      </c>
      <c r="M173" t="s">
        <v>15</v>
      </c>
      <c r="N173" t="s">
        <v>22</v>
      </c>
      <c r="O173" t="s">
        <v>25</v>
      </c>
    </row>
    <row r="174" spans="1:15" x14ac:dyDescent="0.35">
      <c r="A174">
        <v>529</v>
      </c>
      <c r="B174" t="s">
        <v>553</v>
      </c>
      <c r="C174">
        <v>44</v>
      </c>
      <c r="D174" t="str">
        <f t="shared" si="6"/>
        <v>Mid Adults</v>
      </c>
      <c r="E174" t="s">
        <v>35</v>
      </c>
      <c r="F174" t="s">
        <v>20</v>
      </c>
      <c r="G174">
        <v>6936</v>
      </c>
      <c r="H174" t="str">
        <f t="shared" si="7"/>
        <v>6000 - 8000</v>
      </c>
      <c r="I174" s="1">
        <v>42694</v>
      </c>
      <c r="J174">
        <v>2</v>
      </c>
      <c r="K174">
        <v>2</v>
      </c>
      <c r="L174" t="str">
        <f t="shared" si="8"/>
        <v>Junior</v>
      </c>
      <c r="M174" t="s">
        <v>15</v>
      </c>
      <c r="N174" t="s">
        <v>30</v>
      </c>
      <c r="O174" t="s">
        <v>23</v>
      </c>
    </row>
    <row r="175" spans="1:15" x14ac:dyDescent="0.35">
      <c r="A175">
        <v>530</v>
      </c>
      <c r="B175" t="s">
        <v>554</v>
      </c>
      <c r="C175">
        <v>40</v>
      </c>
      <c r="D175" t="str">
        <f t="shared" si="6"/>
        <v>Mid Adults</v>
      </c>
      <c r="E175" t="s">
        <v>13</v>
      </c>
      <c r="F175" t="s">
        <v>14</v>
      </c>
      <c r="G175">
        <v>7002</v>
      </c>
      <c r="H175" t="str">
        <f t="shared" si="7"/>
        <v>6000 - 8000</v>
      </c>
      <c r="I175" s="1">
        <v>43683</v>
      </c>
      <c r="J175">
        <v>2</v>
      </c>
      <c r="K175">
        <v>20</v>
      </c>
      <c r="L175" t="str">
        <f t="shared" si="8"/>
        <v>Manager</v>
      </c>
      <c r="M175" t="s">
        <v>15</v>
      </c>
      <c r="N175" t="s">
        <v>22</v>
      </c>
      <c r="O175" t="s">
        <v>17</v>
      </c>
    </row>
    <row r="176" spans="1:15" x14ac:dyDescent="0.35">
      <c r="A176">
        <v>535</v>
      </c>
      <c r="B176" t="s">
        <v>559</v>
      </c>
      <c r="C176">
        <v>28</v>
      </c>
      <c r="D176" t="str">
        <f t="shared" si="6"/>
        <v>Early Adults</v>
      </c>
      <c r="E176" t="s">
        <v>13</v>
      </c>
      <c r="F176" t="s">
        <v>20</v>
      </c>
      <c r="G176">
        <v>4004</v>
      </c>
      <c r="H176" t="str">
        <f t="shared" si="7"/>
        <v>4000 - 6000</v>
      </c>
      <c r="I176" s="1">
        <v>42665</v>
      </c>
      <c r="J176">
        <v>0</v>
      </c>
      <c r="K176">
        <v>10</v>
      </c>
      <c r="L176" t="str">
        <f t="shared" si="8"/>
        <v>Consultant</v>
      </c>
      <c r="M176" t="s">
        <v>15</v>
      </c>
      <c r="N176" t="s">
        <v>30</v>
      </c>
      <c r="O176" t="s">
        <v>25</v>
      </c>
    </row>
    <row r="177" spans="1:15" x14ac:dyDescent="0.35">
      <c r="A177">
        <v>540</v>
      </c>
      <c r="B177" t="s">
        <v>564</v>
      </c>
      <c r="C177">
        <v>39</v>
      </c>
      <c r="D177" t="str">
        <f t="shared" si="6"/>
        <v>Mid Adults</v>
      </c>
      <c r="E177" t="s">
        <v>13</v>
      </c>
      <c r="F177" t="s">
        <v>27</v>
      </c>
      <c r="G177">
        <v>9823</v>
      </c>
      <c r="H177" t="str">
        <f t="shared" si="7"/>
        <v>8000 - 10,000</v>
      </c>
      <c r="I177" s="1">
        <v>43557</v>
      </c>
      <c r="J177">
        <v>0</v>
      </c>
      <c r="K177">
        <v>1</v>
      </c>
      <c r="L177" t="str">
        <f t="shared" si="8"/>
        <v>Junior</v>
      </c>
      <c r="M177" t="s">
        <v>15</v>
      </c>
      <c r="N177" t="s">
        <v>30</v>
      </c>
      <c r="O177" t="s">
        <v>17</v>
      </c>
    </row>
    <row r="178" spans="1:15" x14ac:dyDescent="0.35">
      <c r="A178">
        <v>541</v>
      </c>
      <c r="B178" t="s">
        <v>565</v>
      </c>
      <c r="C178">
        <v>53</v>
      </c>
      <c r="D178" t="str">
        <f t="shared" si="6"/>
        <v>Mature Adults</v>
      </c>
      <c r="E178" t="s">
        <v>13</v>
      </c>
      <c r="F178" t="s">
        <v>14</v>
      </c>
      <c r="G178">
        <v>6092</v>
      </c>
      <c r="H178" t="str">
        <f t="shared" si="7"/>
        <v>6000 - 8000</v>
      </c>
      <c r="I178" s="1">
        <v>44440</v>
      </c>
      <c r="J178">
        <v>0</v>
      </c>
      <c r="K178">
        <v>16</v>
      </c>
      <c r="L178" t="str">
        <f t="shared" si="8"/>
        <v>Manager</v>
      </c>
      <c r="M178" t="s">
        <v>15</v>
      </c>
      <c r="N178" t="s">
        <v>16</v>
      </c>
      <c r="O178" t="s">
        <v>23</v>
      </c>
    </row>
    <row r="179" spans="1:15" x14ac:dyDescent="0.35">
      <c r="A179">
        <v>542</v>
      </c>
      <c r="B179" t="s">
        <v>566</v>
      </c>
      <c r="C179">
        <v>46</v>
      </c>
      <c r="D179" t="str">
        <f t="shared" si="6"/>
        <v>Mature Adults</v>
      </c>
      <c r="E179" t="s">
        <v>13</v>
      </c>
      <c r="F179" t="s">
        <v>20</v>
      </c>
      <c r="G179">
        <v>5594</v>
      </c>
      <c r="H179" t="str">
        <f t="shared" si="7"/>
        <v>4000 - 6000</v>
      </c>
      <c r="I179" s="1">
        <v>42618</v>
      </c>
      <c r="J179">
        <v>0</v>
      </c>
      <c r="K179">
        <v>3</v>
      </c>
      <c r="L179" t="str">
        <f t="shared" si="8"/>
        <v>Mid-Level</v>
      </c>
      <c r="M179" t="s">
        <v>15</v>
      </c>
      <c r="N179" t="s">
        <v>30</v>
      </c>
      <c r="O179" t="s">
        <v>23</v>
      </c>
    </row>
    <row r="180" spans="1:15" x14ac:dyDescent="0.35">
      <c r="A180">
        <v>546</v>
      </c>
      <c r="B180" t="s">
        <v>570</v>
      </c>
      <c r="C180">
        <v>31</v>
      </c>
      <c r="D180" t="str">
        <f t="shared" si="6"/>
        <v>Early Adults</v>
      </c>
      <c r="E180" t="s">
        <v>35</v>
      </c>
      <c r="F180" t="s">
        <v>27</v>
      </c>
      <c r="G180">
        <v>8103</v>
      </c>
      <c r="H180" t="str">
        <f t="shared" si="7"/>
        <v>8000 - 10,000</v>
      </c>
      <c r="I180" s="1">
        <v>43974</v>
      </c>
      <c r="J180">
        <v>5</v>
      </c>
      <c r="K180">
        <v>4</v>
      </c>
      <c r="L180" t="str">
        <f t="shared" si="8"/>
        <v>Mid-Level</v>
      </c>
      <c r="M180" t="s">
        <v>15</v>
      </c>
      <c r="N180" t="s">
        <v>30</v>
      </c>
      <c r="O180" t="s">
        <v>17</v>
      </c>
    </row>
    <row r="181" spans="1:15" x14ac:dyDescent="0.35">
      <c r="A181">
        <v>550</v>
      </c>
      <c r="B181" t="s">
        <v>574</v>
      </c>
      <c r="C181">
        <v>26</v>
      </c>
      <c r="D181" t="str">
        <f t="shared" si="6"/>
        <v>Early Adults</v>
      </c>
      <c r="E181" t="s">
        <v>35</v>
      </c>
      <c r="F181" t="s">
        <v>20</v>
      </c>
      <c r="G181">
        <v>5184</v>
      </c>
      <c r="H181" t="str">
        <f t="shared" si="7"/>
        <v>4000 - 6000</v>
      </c>
      <c r="I181" s="1">
        <v>43443</v>
      </c>
      <c r="J181">
        <v>0</v>
      </c>
      <c r="K181">
        <v>11</v>
      </c>
      <c r="L181" t="str">
        <f t="shared" si="8"/>
        <v>Consultant</v>
      </c>
      <c r="M181" t="s">
        <v>15</v>
      </c>
      <c r="N181" t="s">
        <v>30</v>
      </c>
      <c r="O181" t="s">
        <v>23</v>
      </c>
    </row>
    <row r="182" spans="1:15" x14ac:dyDescent="0.35">
      <c r="A182">
        <v>553</v>
      </c>
      <c r="B182" t="s">
        <v>577</v>
      </c>
      <c r="C182">
        <v>26</v>
      </c>
      <c r="D182" t="str">
        <f t="shared" si="6"/>
        <v>Early Adults</v>
      </c>
      <c r="E182" t="s">
        <v>35</v>
      </c>
      <c r="F182" t="s">
        <v>20</v>
      </c>
      <c r="G182">
        <v>9704</v>
      </c>
      <c r="H182" t="str">
        <f t="shared" si="7"/>
        <v>8000 - 10,000</v>
      </c>
      <c r="I182" s="1">
        <v>43615</v>
      </c>
      <c r="J182">
        <v>0</v>
      </c>
      <c r="K182">
        <v>9</v>
      </c>
      <c r="L182" t="str">
        <f t="shared" si="8"/>
        <v>Consultant</v>
      </c>
      <c r="M182" t="s">
        <v>15</v>
      </c>
      <c r="N182" t="s">
        <v>16</v>
      </c>
      <c r="O182" t="s">
        <v>23</v>
      </c>
    </row>
    <row r="183" spans="1:15" x14ac:dyDescent="0.35">
      <c r="A183">
        <v>556</v>
      </c>
      <c r="B183" t="s">
        <v>580</v>
      </c>
      <c r="C183">
        <v>29</v>
      </c>
      <c r="D183" t="str">
        <f t="shared" si="6"/>
        <v>Early Adults</v>
      </c>
      <c r="E183" t="s">
        <v>13</v>
      </c>
      <c r="F183" t="s">
        <v>14</v>
      </c>
      <c r="G183">
        <v>8220</v>
      </c>
      <c r="H183" t="str">
        <f t="shared" si="7"/>
        <v>8000 - 10,000</v>
      </c>
      <c r="I183" s="1">
        <v>43789</v>
      </c>
      <c r="J183">
        <v>5</v>
      </c>
      <c r="K183">
        <v>11</v>
      </c>
      <c r="L183" t="str">
        <f t="shared" si="8"/>
        <v>Consultant</v>
      </c>
      <c r="M183" t="s">
        <v>15</v>
      </c>
      <c r="N183" t="s">
        <v>22</v>
      </c>
      <c r="O183" t="s">
        <v>25</v>
      </c>
    </row>
    <row r="184" spans="1:15" x14ac:dyDescent="0.35">
      <c r="A184">
        <v>557</v>
      </c>
      <c r="B184" t="s">
        <v>581</v>
      </c>
      <c r="C184">
        <v>24</v>
      </c>
      <c r="D184" t="str">
        <f t="shared" si="6"/>
        <v>Young Adults</v>
      </c>
      <c r="E184" t="s">
        <v>35</v>
      </c>
      <c r="F184" t="s">
        <v>27</v>
      </c>
      <c r="G184">
        <v>7887</v>
      </c>
      <c r="H184" t="str">
        <f t="shared" si="7"/>
        <v>6000 - 8000</v>
      </c>
      <c r="I184" s="1">
        <v>43122</v>
      </c>
      <c r="J184">
        <v>0</v>
      </c>
      <c r="K184">
        <v>14</v>
      </c>
      <c r="L184" t="str">
        <f t="shared" si="8"/>
        <v>Manager</v>
      </c>
      <c r="M184" t="s">
        <v>15</v>
      </c>
      <c r="N184" t="s">
        <v>30</v>
      </c>
      <c r="O184" t="s">
        <v>17</v>
      </c>
    </row>
    <row r="185" spans="1:15" x14ac:dyDescent="0.35">
      <c r="A185">
        <v>558</v>
      </c>
      <c r="B185" t="s">
        <v>582</v>
      </c>
      <c r="C185">
        <v>28</v>
      </c>
      <c r="D185" t="str">
        <f t="shared" si="6"/>
        <v>Early Adults</v>
      </c>
      <c r="E185" t="s">
        <v>35</v>
      </c>
      <c r="F185" t="s">
        <v>14</v>
      </c>
      <c r="G185">
        <v>9163</v>
      </c>
      <c r="H185" t="str">
        <f t="shared" si="7"/>
        <v>8000 - 10,000</v>
      </c>
      <c r="I185" s="1">
        <v>43378</v>
      </c>
      <c r="J185">
        <v>2</v>
      </c>
      <c r="K185">
        <v>12</v>
      </c>
      <c r="L185" t="str">
        <f t="shared" si="8"/>
        <v>Manager</v>
      </c>
      <c r="M185" t="s">
        <v>15</v>
      </c>
      <c r="N185" t="s">
        <v>22</v>
      </c>
      <c r="O185" t="s">
        <v>25</v>
      </c>
    </row>
    <row r="186" spans="1:15" x14ac:dyDescent="0.35">
      <c r="A186">
        <v>559</v>
      </c>
      <c r="B186" t="s">
        <v>583</v>
      </c>
      <c r="C186">
        <v>63</v>
      </c>
      <c r="D186" t="str">
        <f t="shared" si="6"/>
        <v>Seniors</v>
      </c>
      <c r="E186" t="s">
        <v>13</v>
      </c>
      <c r="F186" t="s">
        <v>20</v>
      </c>
      <c r="G186">
        <v>2640</v>
      </c>
      <c r="H186" t="str">
        <f t="shared" si="7"/>
        <v>2000 - 4000</v>
      </c>
      <c r="I186" s="1">
        <v>44128</v>
      </c>
      <c r="J186">
        <v>0</v>
      </c>
      <c r="K186">
        <v>3</v>
      </c>
      <c r="L186" t="str">
        <f t="shared" si="8"/>
        <v>Mid-Level</v>
      </c>
      <c r="M186" t="s">
        <v>15</v>
      </c>
      <c r="N186" t="s">
        <v>16</v>
      </c>
      <c r="O186" t="s">
        <v>25</v>
      </c>
    </row>
    <row r="187" spans="1:15" x14ac:dyDescent="0.35">
      <c r="A187">
        <v>560</v>
      </c>
      <c r="B187" t="s">
        <v>584</v>
      </c>
      <c r="C187">
        <v>39</v>
      </c>
      <c r="D187" t="str">
        <f t="shared" si="6"/>
        <v>Mid Adults</v>
      </c>
      <c r="E187" t="s">
        <v>13</v>
      </c>
      <c r="F187" t="s">
        <v>20</v>
      </c>
      <c r="G187">
        <v>2831</v>
      </c>
      <c r="H187" t="str">
        <f t="shared" si="7"/>
        <v>2000 - 4000</v>
      </c>
      <c r="I187" s="1">
        <v>44642</v>
      </c>
      <c r="J187">
        <v>4</v>
      </c>
      <c r="K187">
        <v>8</v>
      </c>
      <c r="L187" t="str">
        <f t="shared" si="8"/>
        <v>Consultant</v>
      </c>
      <c r="M187" t="s">
        <v>15</v>
      </c>
      <c r="N187" t="s">
        <v>22</v>
      </c>
      <c r="O187" t="s">
        <v>23</v>
      </c>
    </row>
    <row r="188" spans="1:15" x14ac:dyDescent="0.35">
      <c r="A188">
        <v>565</v>
      </c>
      <c r="B188" t="s">
        <v>589</v>
      </c>
      <c r="C188">
        <v>50</v>
      </c>
      <c r="D188" t="str">
        <f t="shared" si="6"/>
        <v>Mature Adults</v>
      </c>
      <c r="E188" t="s">
        <v>35</v>
      </c>
      <c r="F188" t="s">
        <v>27</v>
      </c>
      <c r="G188">
        <v>8941</v>
      </c>
      <c r="H188" t="str">
        <f t="shared" si="7"/>
        <v>8000 - 10,000</v>
      </c>
      <c r="I188" s="1">
        <v>43355</v>
      </c>
      <c r="J188">
        <v>2</v>
      </c>
      <c r="K188">
        <v>11</v>
      </c>
      <c r="L188" t="str">
        <f t="shared" si="8"/>
        <v>Consultant</v>
      </c>
      <c r="M188" t="s">
        <v>15</v>
      </c>
      <c r="N188" t="s">
        <v>16</v>
      </c>
      <c r="O188" t="s">
        <v>25</v>
      </c>
    </row>
    <row r="189" spans="1:15" x14ac:dyDescent="0.35">
      <c r="A189">
        <v>569</v>
      </c>
      <c r="B189" t="s">
        <v>593</v>
      </c>
      <c r="C189">
        <v>55</v>
      </c>
      <c r="D189" t="str">
        <f t="shared" si="6"/>
        <v>Seniors</v>
      </c>
      <c r="E189" t="s">
        <v>13</v>
      </c>
      <c r="F189" t="s">
        <v>20</v>
      </c>
      <c r="G189">
        <v>6345</v>
      </c>
      <c r="H189" t="str">
        <f t="shared" si="7"/>
        <v>6000 - 8000</v>
      </c>
      <c r="I189" s="1">
        <v>43530</v>
      </c>
      <c r="J189">
        <v>0</v>
      </c>
      <c r="K189">
        <v>2</v>
      </c>
      <c r="L189" t="str">
        <f t="shared" si="8"/>
        <v>Junior</v>
      </c>
      <c r="M189" t="s">
        <v>15</v>
      </c>
      <c r="N189" t="s">
        <v>22</v>
      </c>
      <c r="O189" t="s">
        <v>23</v>
      </c>
    </row>
    <row r="190" spans="1:15" x14ac:dyDescent="0.35">
      <c r="A190">
        <v>574</v>
      </c>
      <c r="B190" t="s">
        <v>598</v>
      </c>
      <c r="C190">
        <v>38</v>
      </c>
      <c r="D190" t="str">
        <f t="shared" si="6"/>
        <v>Mid Adults</v>
      </c>
      <c r="E190" t="s">
        <v>35</v>
      </c>
      <c r="F190" t="s">
        <v>27</v>
      </c>
      <c r="G190">
        <v>3532</v>
      </c>
      <c r="H190" t="str">
        <f t="shared" si="7"/>
        <v>2000 - 4000</v>
      </c>
      <c r="I190" s="1">
        <v>43422</v>
      </c>
      <c r="J190">
        <v>0</v>
      </c>
      <c r="K190">
        <v>1</v>
      </c>
      <c r="L190" t="str">
        <f t="shared" si="8"/>
        <v>Junior</v>
      </c>
      <c r="M190" t="s">
        <v>15</v>
      </c>
      <c r="N190" t="s">
        <v>16</v>
      </c>
      <c r="O190" t="s">
        <v>25</v>
      </c>
    </row>
    <row r="191" spans="1:15" x14ac:dyDescent="0.35">
      <c r="A191">
        <v>577</v>
      </c>
      <c r="B191" t="s">
        <v>601</v>
      </c>
      <c r="C191">
        <v>49</v>
      </c>
      <c r="D191" t="str">
        <f t="shared" si="6"/>
        <v>Mature Adults</v>
      </c>
      <c r="E191" t="s">
        <v>35</v>
      </c>
      <c r="F191" t="s">
        <v>20</v>
      </c>
      <c r="G191">
        <v>7111</v>
      </c>
      <c r="H191" t="str">
        <f t="shared" si="7"/>
        <v>6000 - 8000</v>
      </c>
      <c r="I191" s="1">
        <v>44635</v>
      </c>
      <c r="J191">
        <v>5</v>
      </c>
      <c r="K191">
        <v>18</v>
      </c>
      <c r="L191" t="str">
        <f t="shared" si="8"/>
        <v>Manager</v>
      </c>
      <c r="M191" t="s">
        <v>15</v>
      </c>
      <c r="N191" t="s">
        <v>30</v>
      </c>
      <c r="O191" t="s">
        <v>17</v>
      </c>
    </row>
    <row r="192" spans="1:15" x14ac:dyDescent="0.35">
      <c r="A192">
        <v>580</v>
      </c>
      <c r="B192" t="s">
        <v>604</v>
      </c>
      <c r="C192">
        <v>32</v>
      </c>
      <c r="D192" t="str">
        <f t="shared" si="6"/>
        <v>Early Adults</v>
      </c>
      <c r="E192" t="s">
        <v>35</v>
      </c>
      <c r="F192" t="s">
        <v>14</v>
      </c>
      <c r="G192">
        <v>3736</v>
      </c>
      <c r="H192" t="str">
        <f t="shared" si="7"/>
        <v>2000 - 4000</v>
      </c>
      <c r="I192" s="1">
        <v>43369</v>
      </c>
      <c r="J192">
        <v>3</v>
      </c>
      <c r="K192">
        <v>17</v>
      </c>
      <c r="L192" t="str">
        <f t="shared" si="8"/>
        <v>Manager</v>
      </c>
      <c r="M192" t="s">
        <v>15</v>
      </c>
      <c r="N192" t="s">
        <v>16</v>
      </c>
      <c r="O192" t="s">
        <v>23</v>
      </c>
    </row>
    <row r="193" spans="1:15" x14ac:dyDescent="0.35">
      <c r="A193">
        <v>585</v>
      </c>
      <c r="B193" t="s">
        <v>609</v>
      </c>
      <c r="C193">
        <v>62</v>
      </c>
      <c r="D193" t="str">
        <f t="shared" si="6"/>
        <v>Seniors</v>
      </c>
      <c r="E193" t="s">
        <v>13</v>
      </c>
      <c r="F193" t="s">
        <v>20</v>
      </c>
      <c r="G193">
        <v>2844</v>
      </c>
      <c r="H193" t="str">
        <f t="shared" si="7"/>
        <v>2000 - 4000</v>
      </c>
      <c r="I193" s="1">
        <v>42105</v>
      </c>
      <c r="J193">
        <v>5</v>
      </c>
      <c r="K193">
        <v>10</v>
      </c>
      <c r="L193" t="str">
        <f t="shared" si="8"/>
        <v>Consultant</v>
      </c>
      <c r="M193" t="s">
        <v>15</v>
      </c>
      <c r="N193" t="s">
        <v>16</v>
      </c>
      <c r="O193" t="s">
        <v>23</v>
      </c>
    </row>
    <row r="194" spans="1:15" x14ac:dyDescent="0.35">
      <c r="A194">
        <v>590</v>
      </c>
      <c r="B194" t="s">
        <v>614</v>
      </c>
      <c r="C194">
        <v>18</v>
      </c>
      <c r="D194" t="str">
        <f t="shared" si="6"/>
        <v>Young Adults</v>
      </c>
      <c r="E194" t="s">
        <v>13</v>
      </c>
      <c r="F194" t="s">
        <v>14</v>
      </c>
      <c r="G194">
        <v>7088</v>
      </c>
      <c r="H194" t="str">
        <f t="shared" si="7"/>
        <v>6000 - 8000</v>
      </c>
      <c r="I194" s="1">
        <v>44140</v>
      </c>
      <c r="J194">
        <v>0</v>
      </c>
      <c r="K194">
        <v>7</v>
      </c>
      <c r="L194" t="str">
        <f t="shared" si="8"/>
        <v>Senior Level</v>
      </c>
      <c r="M194" t="s">
        <v>15</v>
      </c>
      <c r="N194" t="s">
        <v>22</v>
      </c>
      <c r="O194" t="s">
        <v>17</v>
      </c>
    </row>
    <row r="195" spans="1:15" x14ac:dyDescent="0.35">
      <c r="A195">
        <v>593</v>
      </c>
      <c r="B195" t="s">
        <v>617</v>
      </c>
      <c r="C195">
        <v>47</v>
      </c>
      <c r="D195" t="str">
        <f t="shared" ref="D195:D258" si="9">IF(C:C&gt;=55,"Seniors",IF(C:C&gt;=45,"Mature Adults",IF(C:C&gt;=35,"Mid Adults",IF(C:C&gt;=25,"Early Adults",IF(C:C&gt;=18,"Young Adults")))))</f>
        <v>Mature Adults</v>
      </c>
      <c r="E195" t="s">
        <v>13</v>
      </c>
      <c r="F195" t="s">
        <v>20</v>
      </c>
      <c r="G195">
        <v>7876</v>
      </c>
      <c r="H195" t="str">
        <f t="shared" ref="H195:H258" si="10">IF(G:G&gt;=8000,"8000 - 10,000",IF(G:G&gt;=6000,"6000 - 8000",IF(G:G&gt;=4000,"4000 - 6000",IF(G:G&gt;=2000,"2000 - 4000"))))</f>
        <v>6000 - 8000</v>
      </c>
      <c r="I195" s="1">
        <v>43585</v>
      </c>
      <c r="J195">
        <v>2</v>
      </c>
      <c r="K195">
        <v>1</v>
      </c>
      <c r="L195" t="str">
        <f t="shared" ref="L195:L258" si="11">IF(K:K&gt;=12,"Manager",IF(K:K&gt;=8,"Consultant",IF(K:K&gt;=5,"Senior Level",IF(K:K&gt;=3,"Mid-Level",IF(K:K&gt;=1,"Junior")))))</f>
        <v>Junior</v>
      </c>
      <c r="M195" t="s">
        <v>15</v>
      </c>
      <c r="N195" t="s">
        <v>22</v>
      </c>
      <c r="O195" t="s">
        <v>25</v>
      </c>
    </row>
    <row r="196" spans="1:15" x14ac:dyDescent="0.35">
      <c r="A196">
        <v>598</v>
      </c>
      <c r="B196" t="s">
        <v>622</v>
      </c>
      <c r="C196">
        <v>20</v>
      </c>
      <c r="D196" t="str">
        <f t="shared" si="9"/>
        <v>Young Adults</v>
      </c>
      <c r="E196" t="s">
        <v>35</v>
      </c>
      <c r="F196" t="s">
        <v>14</v>
      </c>
      <c r="G196">
        <v>2256</v>
      </c>
      <c r="H196" t="str">
        <f t="shared" si="10"/>
        <v>2000 - 4000</v>
      </c>
      <c r="I196" s="1">
        <v>43931</v>
      </c>
      <c r="J196">
        <v>0</v>
      </c>
      <c r="K196">
        <v>9</v>
      </c>
      <c r="L196" t="str">
        <f t="shared" si="11"/>
        <v>Consultant</v>
      </c>
      <c r="M196" t="s">
        <v>15</v>
      </c>
      <c r="N196" t="s">
        <v>16</v>
      </c>
      <c r="O196" t="s">
        <v>23</v>
      </c>
    </row>
    <row r="197" spans="1:15" x14ac:dyDescent="0.35">
      <c r="A197">
        <v>600</v>
      </c>
      <c r="B197" t="s">
        <v>624</v>
      </c>
      <c r="C197">
        <v>20</v>
      </c>
      <c r="D197" t="str">
        <f t="shared" si="9"/>
        <v>Young Adults</v>
      </c>
      <c r="E197" t="s">
        <v>35</v>
      </c>
      <c r="F197" t="s">
        <v>14</v>
      </c>
      <c r="G197">
        <v>7375</v>
      </c>
      <c r="H197" t="str">
        <f t="shared" si="10"/>
        <v>6000 - 8000</v>
      </c>
      <c r="I197" s="1">
        <v>42415</v>
      </c>
      <c r="J197">
        <v>5</v>
      </c>
      <c r="K197">
        <v>2</v>
      </c>
      <c r="L197" t="str">
        <f t="shared" si="11"/>
        <v>Junior</v>
      </c>
      <c r="M197" t="s">
        <v>15</v>
      </c>
      <c r="N197" t="s">
        <v>30</v>
      </c>
      <c r="O197" t="s">
        <v>17</v>
      </c>
    </row>
    <row r="198" spans="1:15" x14ac:dyDescent="0.35">
      <c r="A198">
        <v>602</v>
      </c>
      <c r="B198" t="s">
        <v>626</v>
      </c>
      <c r="C198">
        <v>52</v>
      </c>
      <c r="D198" t="str">
        <f t="shared" si="9"/>
        <v>Mature Adults</v>
      </c>
      <c r="E198" t="s">
        <v>35</v>
      </c>
      <c r="F198" t="s">
        <v>20</v>
      </c>
      <c r="G198">
        <v>6509</v>
      </c>
      <c r="H198" t="str">
        <f t="shared" si="10"/>
        <v>6000 - 8000</v>
      </c>
      <c r="I198" s="1">
        <v>44323</v>
      </c>
      <c r="J198">
        <v>1</v>
      </c>
      <c r="K198">
        <v>1</v>
      </c>
      <c r="L198" t="str">
        <f t="shared" si="11"/>
        <v>Junior</v>
      </c>
      <c r="M198" t="s">
        <v>15</v>
      </c>
      <c r="N198" t="s">
        <v>30</v>
      </c>
      <c r="O198" t="s">
        <v>25</v>
      </c>
    </row>
    <row r="199" spans="1:15" x14ac:dyDescent="0.35">
      <c r="A199">
        <v>605</v>
      </c>
      <c r="B199" t="s">
        <v>629</v>
      </c>
      <c r="C199">
        <v>65</v>
      </c>
      <c r="D199" t="str">
        <f t="shared" si="9"/>
        <v>Seniors</v>
      </c>
      <c r="E199" t="s">
        <v>13</v>
      </c>
      <c r="F199" t="s">
        <v>20</v>
      </c>
      <c r="G199">
        <v>8054</v>
      </c>
      <c r="H199" t="str">
        <f t="shared" si="10"/>
        <v>8000 - 10,000</v>
      </c>
      <c r="I199" s="1">
        <v>44565</v>
      </c>
      <c r="J199">
        <v>2</v>
      </c>
      <c r="K199">
        <v>9</v>
      </c>
      <c r="L199" t="str">
        <f t="shared" si="11"/>
        <v>Consultant</v>
      </c>
      <c r="M199" t="s">
        <v>15</v>
      </c>
      <c r="N199" t="s">
        <v>16</v>
      </c>
      <c r="O199" t="s">
        <v>17</v>
      </c>
    </row>
    <row r="200" spans="1:15" x14ac:dyDescent="0.35">
      <c r="A200">
        <v>608</v>
      </c>
      <c r="B200" t="s">
        <v>632</v>
      </c>
      <c r="C200">
        <v>48</v>
      </c>
      <c r="D200" t="str">
        <f t="shared" si="9"/>
        <v>Mature Adults</v>
      </c>
      <c r="E200" t="s">
        <v>13</v>
      </c>
      <c r="F200" t="s">
        <v>20</v>
      </c>
      <c r="G200">
        <v>3845</v>
      </c>
      <c r="H200" t="str">
        <f t="shared" si="10"/>
        <v>2000 - 4000</v>
      </c>
      <c r="I200" s="1">
        <v>42261</v>
      </c>
      <c r="J200">
        <v>4</v>
      </c>
      <c r="K200">
        <v>13</v>
      </c>
      <c r="L200" t="str">
        <f t="shared" si="11"/>
        <v>Manager</v>
      </c>
      <c r="M200" t="s">
        <v>15</v>
      </c>
      <c r="N200" t="s">
        <v>30</v>
      </c>
      <c r="O200" t="s">
        <v>17</v>
      </c>
    </row>
    <row r="201" spans="1:15" x14ac:dyDescent="0.35">
      <c r="A201">
        <v>610</v>
      </c>
      <c r="B201" t="s">
        <v>634</v>
      </c>
      <c r="C201">
        <v>62</v>
      </c>
      <c r="D201" t="str">
        <f t="shared" si="9"/>
        <v>Seniors</v>
      </c>
      <c r="E201" t="s">
        <v>35</v>
      </c>
      <c r="F201" t="s">
        <v>20</v>
      </c>
      <c r="G201">
        <v>4160</v>
      </c>
      <c r="H201" t="str">
        <f t="shared" si="10"/>
        <v>4000 - 6000</v>
      </c>
      <c r="I201" s="1">
        <v>44433</v>
      </c>
      <c r="J201">
        <v>3</v>
      </c>
      <c r="K201">
        <v>12</v>
      </c>
      <c r="L201" t="str">
        <f t="shared" si="11"/>
        <v>Manager</v>
      </c>
      <c r="M201" t="s">
        <v>15</v>
      </c>
      <c r="N201" t="s">
        <v>30</v>
      </c>
      <c r="O201" t="s">
        <v>17</v>
      </c>
    </row>
    <row r="202" spans="1:15" x14ac:dyDescent="0.35">
      <c r="A202">
        <v>611</v>
      </c>
      <c r="B202" t="s">
        <v>635</v>
      </c>
      <c r="C202">
        <v>50</v>
      </c>
      <c r="D202" t="str">
        <f t="shared" si="9"/>
        <v>Mature Adults</v>
      </c>
      <c r="E202" t="s">
        <v>35</v>
      </c>
      <c r="F202" t="s">
        <v>20</v>
      </c>
      <c r="G202">
        <v>6272</v>
      </c>
      <c r="H202" t="str">
        <f t="shared" si="10"/>
        <v>6000 - 8000</v>
      </c>
      <c r="I202" s="1">
        <v>43119</v>
      </c>
      <c r="J202">
        <v>0</v>
      </c>
      <c r="K202">
        <v>1</v>
      </c>
      <c r="L202" t="str">
        <f t="shared" si="11"/>
        <v>Junior</v>
      </c>
      <c r="M202" t="s">
        <v>15</v>
      </c>
      <c r="N202" t="s">
        <v>16</v>
      </c>
      <c r="O202" t="s">
        <v>17</v>
      </c>
    </row>
    <row r="203" spans="1:15" x14ac:dyDescent="0.35">
      <c r="A203">
        <v>615</v>
      </c>
      <c r="B203" t="s">
        <v>638</v>
      </c>
      <c r="C203">
        <v>53</v>
      </c>
      <c r="D203" t="str">
        <f t="shared" si="9"/>
        <v>Mature Adults</v>
      </c>
      <c r="E203" t="s">
        <v>35</v>
      </c>
      <c r="F203" t="s">
        <v>14</v>
      </c>
      <c r="G203">
        <v>4213</v>
      </c>
      <c r="H203" t="str">
        <f t="shared" si="10"/>
        <v>4000 - 6000</v>
      </c>
      <c r="I203" s="1">
        <v>43272</v>
      </c>
      <c r="J203">
        <v>0</v>
      </c>
      <c r="K203">
        <v>1</v>
      </c>
      <c r="L203" t="str">
        <f t="shared" si="11"/>
        <v>Junior</v>
      </c>
      <c r="M203" t="s">
        <v>15</v>
      </c>
      <c r="N203" t="s">
        <v>22</v>
      </c>
      <c r="O203" t="s">
        <v>25</v>
      </c>
    </row>
    <row r="204" spans="1:15" x14ac:dyDescent="0.35">
      <c r="A204">
        <v>616</v>
      </c>
      <c r="B204" t="s">
        <v>639</v>
      </c>
      <c r="C204">
        <v>59</v>
      </c>
      <c r="D204" t="str">
        <f t="shared" si="9"/>
        <v>Seniors</v>
      </c>
      <c r="E204" t="s">
        <v>35</v>
      </c>
      <c r="F204" t="s">
        <v>27</v>
      </c>
      <c r="G204">
        <v>3105</v>
      </c>
      <c r="H204" t="str">
        <f t="shared" si="10"/>
        <v>2000 - 4000</v>
      </c>
      <c r="I204" s="1">
        <v>42925</v>
      </c>
      <c r="J204">
        <v>3</v>
      </c>
      <c r="K204">
        <v>9</v>
      </c>
      <c r="L204" t="str">
        <f t="shared" si="11"/>
        <v>Consultant</v>
      </c>
      <c r="M204" t="s">
        <v>15</v>
      </c>
      <c r="N204" t="s">
        <v>22</v>
      </c>
      <c r="O204" t="s">
        <v>17</v>
      </c>
    </row>
    <row r="205" spans="1:15" x14ac:dyDescent="0.35">
      <c r="A205">
        <v>619</v>
      </c>
      <c r="B205" t="s">
        <v>642</v>
      </c>
      <c r="C205">
        <v>63</v>
      </c>
      <c r="D205" t="str">
        <f t="shared" si="9"/>
        <v>Seniors</v>
      </c>
      <c r="E205" t="s">
        <v>35</v>
      </c>
      <c r="F205" t="s">
        <v>27</v>
      </c>
      <c r="G205">
        <v>5417</v>
      </c>
      <c r="H205" t="str">
        <f t="shared" si="10"/>
        <v>4000 - 6000</v>
      </c>
      <c r="I205" s="1">
        <v>43804</v>
      </c>
      <c r="J205">
        <v>2</v>
      </c>
      <c r="K205">
        <v>11</v>
      </c>
      <c r="L205" t="str">
        <f t="shared" si="11"/>
        <v>Consultant</v>
      </c>
      <c r="M205" t="s">
        <v>15</v>
      </c>
      <c r="N205" t="s">
        <v>22</v>
      </c>
      <c r="O205" t="s">
        <v>23</v>
      </c>
    </row>
    <row r="206" spans="1:15" x14ac:dyDescent="0.35">
      <c r="A206">
        <v>620</v>
      </c>
      <c r="B206" t="s">
        <v>643</v>
      </c>
      <c r="C206">
        <v>31</v>
      </c>
      <c r="D206" t="str">
        <f t="shared" si="9"/>
        <v>Early Adults</v>
      </c>
      <c r="E206" t="s">
        <v>13</v>
      </c>
      <c r="F206" t="s">
        <v>27</v>
      </c>
      <c r="G206">
        <v>6675</v>
      </c>
      <c r="H206" t="str">
        <f t="shared" si="10"/>
        <v>6000 - 8000</v>
      </c>
      <c r="I206" s="1">
        <v>43029</v>
      </c>
      <c r="J206">
        <v>0</v>
      </c>
      <c r="K206">
        <v>9</v>
      </c>
      <c r="L206" t="str">
        <f t="shared" si="11"/>
        <v>Consultant</v>
      </c>
      <c r="M206" t="s">
        <v>15</v>
      </c>
      <c r="N206" t="s">
        <v>16</v>
      </c>
      <c r="O206" t="s">
        <v>17</v>
      </c>
    </row>
    <row r="207" spans="1:15" x14ac:dyDescent="0.35">
      <c r="A207">
        <v>623</v>
      </c>
      <c r="B207" t="s">
        <v>646</v>
      </c>
      <c r="C207">
        <v>26</v>
      </c>
      <c r="D207" t="str">
        <f t="shared" si="9"/>
        <v>Early Adults</v>
      </c>
      <c r="E207" t="s">
        <v>35</v>
      </c>
      <c r="F207" t="s">
        <v>20</v>
      </c>
      <c r="G207">
        <v>8377</v>
      </c>
      <c r="H207" t="str">
        <f t="shared" si="10"/>
        <v>8000 - 10,000</v>
      </c>
      <c r="I207" s="1">
        <v>44735</v>
      </c>
      <c r="J207">
        <v>2</v>
      </c>
      <c r="K207">
        <v>7</v>
      </c>
      <c r="L207" t="str">
        <f t="shared" si="11"/>
        <v>Senior Level</v>
      </c>
      <c r="M207" t="s">
        <v>15</v>
      </c>
      <c r="N207" t="s">
        <v>30</v>
      </c>
      <c r="O207" t="s">
        <v>25</v>
      </c>
    </row>
    <row r="208" spans="1:15" x14ac:dyDescent="0.35">
      <c r="A208">
        <v>625</v>
      </c>
      <c r="B208" t="s">
        <v>648</v>
      </c>
      <c r="C208">
        <v>64</v>
      </c>
      <c r="D208" t="str">
        <f t="shared" si="9"/>
        <v>Seniors</v>
      </c>
      <c r="E208" t="s">
        <v>35</v>
      </c>
      <c r="F208" t="s">
        <v>27</v>
      </c>
      <c r="G208">
        <v>4232</v>
      </c>
      <c r="H208" t="str">
        <f t="shared" si="10"/>
        <v>4000 - 6000</v>
      </c>
      <c r="I208" s="1">
        <v>45067</v>
      </c>
      <c r="J208">
        <v>2</v>
      </c>
      <c r="K208">
        <v>10</v>
      </c>
      <c r="L208" t="str">
        <f t="shared" si="11"/>
        <v>Consultant</v>
      </c>
      <c r="M208" t="s">
        <v>15</v>
      </c>
      <c r="N208" t="s">
        <v>16</v>
      </c>
      <c r="O208" t="s">
        <v>17</v>
      </c>
    </row>
    <row r="209" spans="1:15" x14ac:dyDescent="0.35">
      <c r="A209">
        <v>628</v>
      </c>
      <c r="B209" t="s">
        <v>651</v>
      </c>
      <c r="C209">
        <v>20</v>
      </c>
      <c r="D209" t="str">
        <f t="shared" si="9"/>
        <v>Young Adults</v>
      </c>
      <c r="E209" t="s">
        <v>35</v>
      </c>
      <c r="F209" t="s">
        <v>14</v>
      </c>
      <c r="G209">
        <v>6165</v>
      </c>
      <c r="H209" t="str">
        <f t="shared" si="10"/>
        <v>6000 - 8000</v>
      </c>
      <c r="I209" s="1">
        <v>43091</v>
      </c>
      <c r="J209">
        <v>0</v>
      </c>
      <c r="K209">
        <v>9</v>
      </c>
      <c r="L209" t="str">
        <f t="shared" si="11"/>
        <v>Consultant</v>
      </c>
      <c r="M209" t="s">
        <v>15</v>
      </c>
      <c r="N209" t="s">
        <v>16</v>
      </c>
      <c r="O209" t="s">
        <v>25</v>
      </c>
    </row>
    <row r="210" spans="1:15" x14ac:dyDescent="0.35">
      <c r="A210">
        <v>629</v>
      </c>
      <c r="B210" t="s">
        <v>652</v>
      </c>
      <c r="C210">
        <v>23</v>
      </c>
      <c r="D210" t="str">
        <f t="shared" si="9"/>
        <v>Young Adults</v>
      </c>
      <c r="E210" t="s">
        <v>35</v>
      </c>
      <c r="F210" t="s">
        <v>14</v>
      </c>
      <c r="G210">
        <v>3790</v>
      </c>
      <c r="H210" t="str">
        <f t="shared" si="10"/>
        <v>2000 - 4000</v>
      </c>
      <c r="I210" s="1">
        <v>45505</v>
      </c>
      <c r="J210">
        <v>2</v>
      </c>
      <c r="K210">
        <v>13</v>
      </c>
      <c r="L210" t="str">
        <f t="shared" si="11"/>
        <v>Manager</v>
      </c>
      <c r="M210" t="s">
        <v>15</v>
      </c>
      <c r="N210" t="s">
        <v>16</v>
      </c>
      <c r="O210" t="s">
        <v>25</v>
      </c>
    </row>
    <row r="211" spans="1:15" x14ac:dyDescent="0.35">
      <c r="A211">
        <v>631</v>
      </c>
      <c r="B211" t="s">
        <v>653</v>
      </c>
      <c r="C211">
        <v>21</v>
      </c>
      <c r="D211" t="str">
        <f t="shared" si="9"/>
        <v>Young Adults</v>
      </c>
      <c r="E211" t="s">
        <v>13</v>
      </c>
      <c r="F211" t="s">
        <v>20</v>
      </c>
      <c r="G211">
        <v>5970</v>
      </c>
      <c r="H211" t="str">
        <f t="shared" si="10"/>
        <v>4000 - 6000</v>
      </c>
      <c r="I211" s="1">
        <v>42683</v>
      </c>
      <c r="J211">
        <v>0</v>
      </c>
      <c r="K211">
        <v>6</v>
      </c>
      <c r="L211" t="str">
        <f t="shared" si="11"/>
        <v>Senior Level</v>
      </c>
      <c r="M211" t="s">
        <v>15</v>
      </c>
      <c r="N211" t="s">
        <v>22</v>
      </c>
      <c r="O211" t="s">
        <v>23</v>
      </c>
    </row>
    <row r="212" spans="1:15" x14ac:dyDescent="0.35">
      <c r="A212">
        <v>634</v>
      </c>
      <c r="B212" t="s">
        <v>656</v>
      </c>
      <c r="C212">
        <v>21</v>
      </c>
      <c r="D212" t="str">
        <f t="shared" si="9"/>
        <v>Young Adults</v>
      </c>
      <c r="E212" t="s">
        <v>13</v>
      </c>
      <c r="F212" t="s">
        <v>20</v>
      </c>
      <c r="G212">
        <v>3913</v>
      </c>
      <c r="H212" t="str">
        <f t="shared" si="10"/>
        <v>2000 - 4000</v>
      </c>
      <c r="I212" s="1">
        <v>43062</v>
      </c>
      <c r="J212">
        <v>0</v>
      </c>
      <c r="K212">
        <v>9</v>
      </c>
      <c r="L212" t="str">
        <f t="shared" si="11"/>
        <v>Consultant</v>
      </c>
      <c r="M212" t="s">
        <v>15</v>
      </c>
      <c r="N212" t="s">
        <v>16</v>
      </c>
      <c r="O212" t="s">
        <v>23</v>
      </c>
    </row>
    <row r="213" spans="1:15" x14ac:dyDescent="0.35">
      <c r="A213">
        <v>636</v>
      </c>
      <c r="B213" t="s">
        <v>658</v>
      </c>
      <c r="C213">
        <v>37</v>
      </c>
      <c r="D213" t="str">
        <f t="shared" si="9"/>
        <v>Mid Adults</v>
      </c>
      <c r="E213" t="s">
        <v>13</v>
      </c>
      <c r="F213" t="s">
        <v>20</v>
      </c>
      <c r="G213">
        <v>3622</v>
      </c>
      <c r="H213" t="str">
        <f t="shared" si="10"/>
        <v>2000 - 4000</v>
      </c>
      <c r="I213" s="1">
        <v>42776</v>
      </c>
      <c r="J213">
        <v>0</v>
      </c>
      <c r="K213">
        <v>15</v>
      </c>
      <c r="L213" t="str">
        <f t="shared" si="11"/>
        <v>Manager</v>
      </c>
      <c r="M213" t="s">
        <v>15</v>
      </c>
      <c r="N213" t="s">
        <v>22</v>
      </c>
      <c r="O213" t="s">
        <v>23</v>
      </c>
    </row>
    <row r="214" spans="1:15" x14ac:dyDescent="0.35">
      <c r="A214">
        <v>639</v>
      </c>
      <c r="B214" t="s">
        <v>661</v>
      </c>
      <c r="C214">
        <v>19</v>
      </c>
      <c r="D214" t="str">
        <f t="shared" si="9"/>
        <v>Young Adults</v>
      </c>
      <c r="E214" t="s">
        <v>35</v>
      </c>
      <c r="F214" t="s">
        <v>20</v>
      </c>
      <c r="G214">
        <v>2277</v>
      </c>
      <c r="H214" t="str">
        <f t="shared" si="10"/>
        <v>2000 - 4000</v>
      </c>
      <c r="I214" s="1">
        <v>43759</v>
      </c>
      <c r="J214">
        <v>1</v>
      </c>
      <c r="K214">
        <v>4</v>
      </c>
      <c r="L214" t="str">
        <f t="shared" si="11"/>
        <v>Mid-Level</v>
      </c>
      <c r="M214" t="s">
        <v>15</v>
      </c>
      <c r="N214" t="s">
        <v>22</v>
      </c>
      <c r="O214" t="s">
        <v>17</v>
      </c>
    </row>
    <row r="215" spans="1:15" x14ac:dyDescent="0.35">
      <c r="A215">
        <v>642</v>
      </c>
      <c r="B215" t="s">
        <v>664</v>
      </c>
      <c r="C215">
        <v>37</v>
      </c>
      <c r="D215" t="str">
        <f t="shared" si="9"/>
        <v>Mid Adults</v>
      </c>
      <c r="E215" t="s">
        <v>35</v>
      </c>
      <c r="F215" t="s">
        <v>20</v>
      </c>
      <c r="G215">
        <v>6354</v>
      </c>
      <c r="H215" t="str">
        <f t="shared" si="10"/>
        <v>6000 - 8000</v>
      </c>
      <c r="I215" s="1">
        <v>44533</v>
      </c>
      <c r="J215">
        <v>0</v>
      </c>
      <c r="K215">
        <v>9</v>
      </c>
      <c r="L215" t="str">
        <f t="shared" si="11"/>
        <v>Consultant</v>
      </c>
      <c r="M215" t="s">
        <v>15</v>
      </c>
      <c r="N215" t="s">
        <v>22</v>
      </c>
      <c r="O215" t="s">
        <v>17</v>
      </c>
    </row>
    <row r="216" spans="1:15" x14ac:dyDescent="0.35">
      <c r="A216">
        <v>644</v>
      </c>
      <c r="B216" t="s">
        <v>666</v>
      </c>
      <c r="C216">
        <v>40</v>
      </c>
      <c r="D216" t="str">
        <f t="shared" si="9"/>
        <v>Mid Adults</v>
      </c>
      <c r="E216" t="s">
        <v>13</v>
      </c>
      <c r="F216" t="s">
        <v>14</v>
      </c>
      <c r="G216">
        <v>6918</v>
      </c>
      <c r="H216" t="str">
        <f t="shared" si="10"/>
        <v>6000 - 8000</v>
      </c>
      <c r="I216" s="1">
        <v>43499</v>
      </c>
      <c r="J216">
        <v>5</v>
      </c>
      <c r="K216">
        <v>1</v>
      </c>
      <c r="L216" t="str">
        <f t="shared" si="11"/>
        <v>Junior</v>
      </c>
      <c r="M216" t="s">
        <v>15</v>
      </c>
      <c r="N216" t="s">
        <v>22</v>
      </c>
      <c r="O216" t="s">
        <v>17</v>
      </c>
    </row>
    <row r="217" spans="1:15" x14ac:dyDescent="0.35">
      <c r="A217">
        <v>648</v>
      </c>
      <c r="B217" t="s">
        <v>670</v>
      </c>
      <c r="C217">
        <v>58</v>
      </c>
      <c r="D217" t="str">
        <f t="shared" si="9"/>
        <v>Seniors</v>
      </c>
      <c r="E217" t="s">
        <v>35</v>
      </c>
      <c r="F217" t="s">
        <v>20</v>
      </c>
      <c r="G217">
        <v>4038</v>
      </c>
      <c r="H217" t="str">
        <f t="shared" si="10"/>
        <v>4000 - 6000</v>
      </c>
      <c r="I217" s="1">
        <v>44080</v>
      </c>
      <c r="J217">
        <v>3</v>
      </c>
      <c r="K217">
        <v>13</v>
      </c>
      <c r="L217" t="str">
        <f t="shared" si="11"/>
        <v>Manager</v>
      </c>
      <c r="M217" t="s">
        <v>15</v>
      </c>
      <c r="N217" t="s">
        <v>22</v>
      </c>
      <c r="O217" t="s">
        <v>23</v>
      </c>
    </row>
    <row r="218" spans="1:15" x14ac:dyDescent="0.35">
      <c r="A218">
        <v>651</v>
      </c>
      <c r="B218" t="s">
        <v>673</v>
      </c>
      <c r="C218">
        <v>57</v>
      </c>
      <c r="D218" t="str">
        <f t="shared" si="9"/>
        <v>Seniors</v>
      </c>
      <c r="E218" t="s">
        <v>13</v>
      </c>
      <c r="F218" t="s">
        <v>14</v>
      </c>
      <c r="G218">
        <v>2850</v>
      </c>
      <c r="H218" t="str">
        <f t="shared" si="10"/>
        <v>2000 - 4000</v>
      </c>
      <c r="I218" s="1">
        <v>43762</v>
      </c>
      <c r="J218">
        <v>0</v>
      </c>
      <c r="K218">
        <v>1</v>
      </c>
      <c r="L218" t="str">
        <f t="shared" si="11"/>
        <v>Junior</v>
      </c>
      <c r="M218" t="s">
        <v>15</v>
      </c>
      <c r="N218" t="s">
        <v>22</v>
      </c>
      <c r="O218" t="s">
        <v>23</v>
      </c>
    </row>
    <row r="219" spans="1:15" x14ac:dyDescent="0.35">
      <c r="A219">
        <v>653</v>
      </c>
      <c r="B219" t="s">
        <v>675</v>
      </c>
      <c r="C219">
        <v>61</v>
      </c>
      <c r="D219" t="str">
        <f t="shared" si="9"/>
        <v>Seniors</v>
      </c>
      <c r="E219" t="s">
        <v>35</v>
      </c>
      <c r="F219" t="s">
        <v>14</v>
      </c>
      <c r="G219">
        <v>5508</v>
      </c>
      <c r="H219" t="str">
        <f t="shared" si="10"/>
        <v>4000 - 6000</v>
      </c>
      <c r="I219" s="1">
        <v>42466</v>
      </c>
      <c r="J219">
        <v>5</v>
      </c>
      <c r="K219">
        <v>5</v>
      </c>
      <c r="L219" t="str">
        <f t="shared" si="11"/>
        <v>Senior Level</v>
      </c>
      <c r="M219" t="s">
        <v>15</v>
      </c>
      <c r="N219" t="s">
        <v>22</v>
      </c>
      <c r="O219" t="s">
        <v>17</v>
      </c>
    </row>
    <row r="220" spans="1:15" x14ac:dyDescent="0.35">
      <c r="A220">
        <v>659</v>
      </c>
      <c r="B220" t="s">
        <v>681</v>
      </c>
      <c r="C220">
        <v>20</v>
      </c>
      <c r="D220" t="str">
        <f t="shared" si="9"/>
        <v>Young Adults</v>
      </c>
      <c r="E220" t="s">
        <v>35</v>
      </c>
      <c r="F220" t="s">
        <v>14</v>
      </c>
      <c r="G220">
        <v>3500</v>
      </c>
      <c r="H220" t="str">
        <f t="shared" si="10"/>
        <v>2000 - 4000</v>
      </c>
      <c r="I220" s="1">
        <v>44054</v>
      </c>
      <c r="J220">
        <v>0</v>
      </c>
      <c r="K220">
        <v>20</v>
      </c>
      <c r="L220" t="str">
        <f t="shared" si="11"/>
        <v>Manager</v>
      </c>
      <c r="M220" t="s">
        <v>15</v>
      </c>
      <c r="N220" t="s">
        <v>16</v>
      </c>
      <c r="O220" t="s">
        <v>25</v>
      </c>
    </row>
    <row r="221" spans="1:15" x14ac:dyDescent="0.35">
      <c r="A221">
        <v>660</v>
      </c>
      <c r="B221" t="s">
        <v>682</v>
      </c>
      <c r="C221">
        <v>65</v>
      </c>
      <c r="D221" t="str">
        <f t="shared" si="9"/>
        <v>Seniors</v>
      </c>
      <c r="E221" t="s">
        <v>13</v>
      </c>
      <c r="F221" t="s">
        <v>14</v>
      </c>
      <c r="G221">
        <v>5816</v>
      </c>
      <c r="H221" t="str">
        <f t="shared" si="10"/>
        <v>4000 - 6000</v>
      </c>
      <c r="I221" s="1">
        <v>44371</v>
      </c>
      <c r="J221">
        <v>4</v>
      </c>
      <c r="K221">
        <v>9</v>
      </c>
      <c r="L221" t="str">
        <f t="shared" si="11"/>
        <v>Consultant</v>
      </c>
      <c r="M221" t="s">
        <v>15</v>
      </c>
      <c r="N221" t="s">
        <v>30</v>
      </c>
      <c r="O221" t="s">
        <v>23</v>
      </c>
    </row>
    <row r="222" spans="1:15" x14ac:dyDescent="0.35">
      <c r="A222">
        <v>661</v>
      </c>
      <c r="B222" t="s">
        <v>683</v>
      </c>
      <c r="C222">
        <v>48</v>
      </c>
      <c r="D222" t="str">
        <f t="shared" si="9"/>
        <v>Mature Adults</v>
      </c>
      <c r="E222" t="s">
        <v>13</v>
      </c>
      <c r="F222" t="s">
        <v>14</v>
      </c>
      <c r="G222">
        <v>8150</v>
      </c>
      <c r="H222" t="str">
        <f t="shared" si="10"/>
        <v>8000 - 10,000</v>
      </c>
      <c r="I222" s="1">
        <v>42824</v>
      </c>
      <c r="J222">
        <v>0</v>
      </c>
      <c r="K222">
        <v>3</v>
      </c>
      <c r="L222" t="str">
        <f t="shared" si="11"/>
        <v>Mid-Level</v>
      </c>
      <c r="M222" t="s">
        <v>15</v>
      </c>
      <c r="N222" t="s">
        <v>16</v>
      </c>
      <c r="O222" t="s">
        <v>17</v>
      </c>
    </row>
    <row r="223" spans="1:15" x14ac:dyDescent="0.35">
      <c r="A223">
        <v>665</v>
      </c>
      <c r="B223" t="s">
        <v>687</v>
      </c>
      <c r="C223">
        <v>43</v>
      </c>
      <c r="D223" t="str">
        <f t="shared" si="9"/>
        <v>Mid Adults</v>
      </c>
      <c r="E223" t="s">
        <v>13</v>
      </c>
      <c r="F223" t="s">
        <v>20</v>
      </c>
      <c r="G223">
        <v>9053</v>
      </c>
      <c r="H223" t="str">
        <f t="shared" si="10"/>
        <v>8000 - 10,000</v>
      </c>
      <c r="I223" s="1">
        <v>45342</v>
      </c>
      <c r="J223">
        <v>1</v>
      </c>
      <c r="K223">
        <v>9</v>
      </c>
      <c r="L223" t="str">
        <f t="shared" si="11"/>
        <v>Consultant</v>
      </c>
      <c r="M223" t="s">
        <v>15</v>
      </c>
      <c r="N223" t="s">
        <v>16</v>
      </c>
      <c r="O223" t="s">
        <v>23</v>
      </c>
    </row>
    <row r="224" spans="1:15" x14ac:dyDescent="0.35">
      <c r="A224">
        <v>669</v>
      </c>
      <c r="B224" t="s">
        <v>691</v>
      </c>
      <c r="C224">
        <v>23</v>
      </c>
      <c r="D224" t="str">
        <f t="shared" si="9"/>
        <v>Young Adults</v>
      </c>
      <c r="E224" t="s">
        <v>35</v>
      </c>
      <c r="F224" t="s">
        <v>20</v>
      </c>
      <c r="G224">
        <v>8898</v>
      </c>
      <c r="H224" t="str">
        <f t="shared" si="10"/>
        <v>8000 - 10,000</v>
      </c>
      <c r="I224" s="1">
        <v>43930</v>
      </c>
      <c r="J224">
        <v>1</v>
      </c>
      <c r="K224">
        <v>15</v>
      </c>
      <c r="L224" t="str">
        <f t="shared" si="11"/>
        <v>Manager</v>
      </c>
      <c r="M224" t="s">
        <v>15</v>
      </c>
      <c r="N224" t="s">
        <v>16</v>
      </c>
      <c r="O224" t="s">
        <v>17</v>
      </c>
    </row>
    <row r="225" spans="1:15" x14ac:dyDescent="0.35">
      <c r="A225">
        <v>674</v>
      </c>
      <c r="B225" t="s">
        <v>696</v>
      </c>
      <c r="C225">
        <v>20</v>
      </c>
      <c r="D225" t="str">
        <f t="shared" si="9"/>
        <v>Young Adults</v>
      </c>
      <c r="E225" t="s">
        <v>13</v>
      </c>
      <c r="F225" t="s">
        <v>20</v>
      </c>
      <c r="G225">
        <v>2372</v>
      </c>
      <c r="H225" t="str">
        <f t="shared" si="10"/>
        <v>2000 - 4000</v>
      </c>
      <c r="I225" s="1">
        <v>43386</v>
      </c>
      <c r="J225">
        <v>4</v>
      </c>
      <c r="K225">
        <v>8</v>
      </c>
      <c r="L225" t="str">
        <f t="shared" si="11"/>
        <v>Consultant</v>
      </c>
      <c r="M225" t="s">
        <v>15</v>
      </c>
      <c r="N225" t="s">
        <v>30</v>
      </c>
      <c r="O225" t="s">
        <v>25</v>
      </c>
    </row>
    <row r="226" spans="1:15" x14ac:dyDescent="0.35">
      <c r="A226">
        <v>675</v>
      </c>
      <c r="B226" t="s">
        <v>697</v>
      </c>
      <c r="C226">
        <v>60</v>
      </c>
      <c r="D226" t="str">
        <f t="shared" si="9"/>
        <v>Seniors</v>
      </c>
      <c r="E226" t="s">
        <v>35</v>
      </c>
      <c r="F226" t="s">
        <v>14</v>
      </c>
      <c r="G226">
        <v>3436</v>
      </c>
      <c r="H226" t="str">
        <f t="shared" si="10"/>
        <v>2000 - 4000</v>
      </c>
      <c r="I226" s="1">
        <v>44491</v>
      </c>
      <c r="J226">
        <v>1</v>
      </c>
      <c r="K226">
        <v>10</v>
      </c>
      <c r="L226" t="str">
        <f t="shared" si="11"/>
        <v>Consultant</v>
      </c>
      <c r="M226" t="s">
        <v>15</v>
      </c>
      <c r="N226" t="s">
        <v>22</v>
      </c>
      <c r="O226" t="s">
        <v>17</v>
      </c>
    </row>
    <row r="227" spans="1:15" x14ac:dyDescent="0.35">
      <c r="A227">
        <v>678</v>
      </c>
      <c r="B227" t="s">
        <v>700</v>
      </c>
      <c r="C227">
        <v>35</v>
      </c>
      <c r="D227" t="str">
        <f t="shared" si="9"/>
        <v>Mid Adults</v>
      </c>
      <c r="E227" t="s">
        <v>35</v>
      </c>
      <c r="F227" t="s">
        <v>14</v>
      </c>
      <c r="G227">
        <v>5900</v>
      </c>
      <c r="H227" t="str">
        <f t="shared" si="10"/>
        <v>4000 - 6000</v>
      </c>
      <c r="I227" s="1">
        <v>42119</v>
      </c>
      <c r="J227">
        <v>0</v>
      </c>
      <c r="K227">
        <v>12</v>
      </c>
      <c r="L227" t="str">
        <f t="shared" si="11"/>
        <v>Manager</v>
      </c>
      <c r="M227" t="s">
        <v>15</v>
      </c>
      <c r="N227" t="s">
        <v>30</v>
      </c>
      <c r="O227" t="s">
        <v>23</v>
      </c>
    </row>
    <row r="228" spans="1:15" x14ac:dyDescent="0.35">
      <c r="A228">
        <v>680</v>
      </c>
      <c r="B228" t="s">
        <v>702</v>
      </c>
      <c r="C228">
        <v>58</v>
      </c>
      <c r="D228" t="str">
        <f t="shared" si="9"/>
        <v>Seniors</v>
      </c>
      <c r="E228" t="s">
        <v>13</v>
      </c>
      <c r="F228" t="s">
        <v>14</v>
      </c>
      <c r="G228">
        <v>2477</v>
      </c>
      <c r="H228" t="str">
        <f t="shared" si="10"/>
        <v>2000 - 4000</v>
      </c>
      <c r="I228" s="1">
        <v>45573</v>
      </c>
      <c r="J228">
        <v>0</v>
      </c>
      <c r="K228">
        <v>4</v>
      </c>
      <c r="L228" t="str">
        <f t="shared" si="11"/>
        <v>Mid-Level</v>
      </c>
      <c r="M228" t="s">
        <v>15</v>
      </c>
      <c r="N228" t="s">
        <v>16</v>
      </c>
      <c r="O228" t="s">
        <v>25</v>
      </c>
    </row>
    <row r="229" spans="1:15" x14ac:dyDescent="0.35">
      <c r="A229">
        <v>681</v>
      </c>
      <c r="B229" t="s">
        <v>703</v>
      </c>
      <c r="C229">
        <v>19</v>
      </c>
      <c r="D229" t="str">
        <f t="shared" si="9"/>
        <v>Young Adults</v>
      </c>
      <c r="E229" t="s">
        <v>13</v>
      </c>
      <c r="F229" t="s">
        <v>27</v>
      </c>
      <c r="G229">
        <v>6725</v>
      </c>
      <c r="H229" t="str">
        <f t="shared" si="10"/>
        <v>6000 - 8000</v>
      </c>
      <c r="I229" s="1">
        <v>44859</v>
      </c>
      <c r="J229">
        <v>3</v>
      </c>
      <c r="K229">
        <v>6</v>
      </c>
      <c r="L229" t="str">
        <f t="shared" si="11"/>
        <v>Senior Level</v>
      </c>
      <c r="M229" t="s">
        <v>15</v>
      </c>
      <c r="N229" t="s">
        <v>30</v>
      </c>
      <c r="O229" t="s">
        <v>25</v>
      </c>
    </row>
    <row r="230" spans="1:15" x14ac:dyDescent="0.35">
      <c r="A230">
        <v>684</v>
      </c>
      <c r="B230" t="s">
        <v>706</v>
      </c>
      <c r="C230">
        <v>48</v>
      </c>
      <c r="D230" t="str">
        <f t="shared" si="9"/>
        <v>Mature Adults</v>
      </c>
      <c r="E230" t="s">
        <v>35</v>
      </c>
      <c r="F230" t="s">
        <v>14</v>
      </c>
      <c r="G230">
        <v>5309</v>
      </c>
      <c r="H230" t="str">
        <f t="shared" si="10"/>
        <v>4000 - 6000</v>
      </c>
      <c r="I230" s="1">
        <v>45014</v>
      </c>
      <c r="J230">
        <v>1</v>
      </c>
      <c r="K230">
        <v>5</v>
      </c>
      <c r="L230" t="str">
        <f t="shared" si="11"/>
        <v>Senior Level</v>
      </c>
      <c r="M230" t="s">
        <v>15</v>
      </c>
      <c r="N230" t="s">
        <v>16</v>
      </c>
      <c r="O230" t="s">
        <v>25</v>
      </c>
    </row>
    <row r="231" spans="1:15" x14ac:dyDescent="0.35">
      <c r="A231">
        <v>687</v>
      </c>
      <c r="B231" t="s">
        <v>709</v>
      </c>
      <c r="C231">
        <v>20</v>
      </c>
      <c r="D231" t="str">
        <f t="shared" si="9"/>
        <v>Young Adults</v>
      </c>
      <c r="E231" t="s">
        <v>35</v>
      </c>
      <c r="F231" t="s">
        <v>20</v>
      </c>
      <c r="G231">
        <v>4483</v>
      </c>
      <c r="H231" t="str">
        <f t="shared" si="10"/>
        <v>4000 - 6000</v>
      </c>
      <c r="I231" s="1">
        <v>42580</v>
      </c>
      <c r="J231">
        <v>2</v>
      </c>
      <c r="K231">
        <v>19</v>
      </c>
      <c r="L231" t="str">
        <f t="shared" si="11"/>
        <v>Manager</v>
      </c>
      <c r="M231" t="s">
        <v>15</v>
      </c>
      <c r="N231" t="s">
        <v>16</v>
      </c>
      <c r="O231" t="s">
        <v>17</v>
      </c>
    </row>
    <row r="232" spans="1:15" x14ac:dyDescent="0.35">
      <c r="A232">
        <v>688</v>
      </c>
      <c r="B232" t="s">
        <v>710</v>
      </c>
      <c r="C232">
        <v>20</v>
      </c>
      <c r="D232" t="str">
        <f t="shared" si="9"/>
        <v>Young Adults</v>
      </c>
      <c r="E232" t="s">
        <v>13</v>
      </c>
      <c r="F232" t="s">
        <v>27</v>
      </c>
      <c r="G232">
        <v>9044</v>
      </c>
      <c r="H232" t="str">
        <f t="shared" si="10"/>
        <v>8000 - 10,000</v>
      </c>
      <c r="I232" s="1">
        <v>44477</v>
      </c>
      <c r="J232">
        <v>0</v>
      </c>
      <c r="K232">
        <v>7</v>
      </c>
      <c r="L232" t="str">
        <f t="shared" si="11"/>
        <v>Senior Level</v>
      </c>
      <c r="M232" t="s">
        <v>15</v>
      </c>
      <c r="N232" t="s">
        <v>22</v>
      </c>
      <c r="O232" t="s">
        <v>25</v>
      </c>
    </row>
    <row r="233" spans="1:15" x14ac:dyDescent="0.35">
      <c r="A233">
        <v>689</v>
      </c>
      <c r="B233" t="s">
        <v>711</v>
      </c>
      <c r="C233">
        <v>29</v>
      </c>
      <c r="D233" t="str">
        <f t="shared" si="9"/>
        <v>Early Adults</v>
      </c>
      <c r="E233" t="s">
        <v>35</v>
      </c>
      <c r="F233" t="s">
        <v>14</v>
      </c>
      <c r="G233">
        <v>3504</v>
      </c>
      <c r="H233" t="str">
        <f t="shared" si="10"/>
        <v>2000 - 4000</v>
      </c>
      <c r="I233" s="1">
        <v>42556</v>
      </c>
      <c r="J233">
        <v>0</v>
      </c>
      <c r="K233">
        <v>10</v>
      </c>
      <c r="L233" t="str">
        <f t="shared" si="11"/>
        <v>Consultant</v>
      </c>
      <c r="M233" t="s">
        <v>15</v>
      </c>
      <c r="N233" t="s">
        <v>30</v>
      </c>
      <c r="O233" t="s">
        <v>23</v>
      </c>
    </row>
    <row r="234" spans="1:15" x14ac:dyDescent="0.35">
      <c r="A234">
        <v>690</v>
      </c>
      <c r="B234" t="s">
        <v>712</v>
      </c>
      <c r="C234">
        <v>35</v>
      </c>
      <c r="D234" t="str">
        <f t="shared" si="9"/>
        <v>Mid Adults</v>
      </c>
      <c r="E234" t="s">
        <v>13</v>
      </c>
      <c r="F234" t="s">
        <v>14</v>
      </c>
      <c r="G234">
        <v>5531</v>
      </c>
      <c r="H234" t="str">
        <f t="shared" si="10"/>
        <v>4000 - 6000</v>
      </c>
      <c r="I234" s="1">
        <v>42748</v>
      </c>
      <c r="J234">
        <v>0</v>
      </c>
      <c r="K234">
        <v>7</v>
      </c>
      <c r="L234" t="str">
        <f t="shared" si="11"/>
        <v>Senior Level</v>
      </c>
      <c r="M234" t="s">
        <v>15</v>
      </c>
      <c r="N234" t="s">
        <v>30</v>
      </c>
      <c r="O234" t="s">
        <v>25</v>
      </c>
    </row>
    <row r="235" spans="1:15" x14ac:dyDescent="0.35">
      <c r="A235">
        <v>692</v>
      </c>
      <c r="B235" t="s">
        <v>714</v>
      </c>
      <c r="C235">
        <v>47</v>
      </c>
      <c r="D235" t="str">
        <f t="shared" si="9"/>
        <v>Mature Adults</v>
      </c>
      <c r="E235" t="s">
        <v>35</v>
      </c>
      <c r="F235" t="s">
        <v>20</v>
      </c>
      <c r="G235">
        <v>2145</v>
      </c>
      <c r="H235" t="str">
        <f t="shared" si="10"/>
        <v>2000 - 4000</v>
      </c>
      <c r="I235" s="1">
        <v>44431</v>
      </c>
      <c r="J235">
        <v>0</v>
      </c>
      <c r="K235">
        <v>10</v>
      </c>
      <c r="L235" t="str">
        <f t="shared" si="11"/>
        <v>Consultant</v>
      </c>
      <c r="M235" t="s">
        <v>15</v>
      </c>
      <c r="N235" t="s">
        <v>30</v>
      </c>
      <c r="O235" t="s">
        <v>17</v>
      </c>
    </row>
    <row r="236" spans="1:15" x14ac:dyDescent="0.35">
      <c r="A236">
        <v>693</v>
      </c>
      <c r="B236" t="s">
        <v>715</v>
      </c>
      <c r="C236">
        <v>63</v>
      </c>
      <c r="D236" t="str">
        <f t="shared" si="9"/>
        <v>Seniors</v>
      </c>
      <c r="E236" t="s">
        <v>35</v>
      </c>
      <c r="F236" t="s">
        <v>27</v>
      </c>
      <c r="G236">
        <v>7897</v>
      </c>
      <c r="H236" t="str">
        <f t="shared" si="10"/>
        <v>6000 - 8000</v>
      </c>
      <c r="I236" s="1">
        <v>45524</v>
      </c>
      <c r="J236">
        <v>0</v>
      </c>
      <c r="K236">
        <v>20</v>
      </c>
      <c r="L236" t="str">
        <f t="shared" si="11"/>
        <v>Manager</v>
      </c>
      <c r="M236" t="s">
        <v>15</v>
      </c>
      <c r="N236" t="s">
        <v>16</v>
      </c>
      <c r="O236" t="s">
        <v>23</v>
      </c>
    </row>
    <row r="237" spans="1:15" x14ac:dyDescent="0.35">
      <c r="A237">
        <v>695</v>
      </c>
      <c r="B237" t="s">
        <v>717</v>
      </c>
      <c r="C237">
        <v>50</v>
      </c>
      <c r="D237" t="str">
        <f t="shared" si="9"/>
        <v>Mature Adults</v>
      </c>
      <c r="E237" t="s">
        <v>13</v>
      </c>
      <c r="F237" t="s">
        <v>14</v>
      </c>
      <c r="G237">
        <v>4721</v>
      </c>
      <c r="H237" t="str">
        <f t="shared" si="10"/>
        <v>4000 - 6000</v>
      </c>
      <c r="I237" s="1">
        <v>45604</v>
      </c>
      <c r="J237">
        <v>5</v>
      </c>
      <c r="K237">
        <v>16</v>
      </c>
      <c r="L237" t="str">
        <f t="shared" si="11"/>
        <v>Manager</v>
      </c>
      <c r="M237" t="s">
        <v>15</v>
      </c>
      <c r="N237" t="s">
        <v>22</v>
      </c>
      <c r="O237" t="s">
        <v>23</v>
      </c>
    </row>
    <row r="238" spans="1:15" x14ac:dyDescent="0.35">
      <c r="A238">
        <v>698</v>
      </c>
      <c r="B238" t="s">
        <v>720</v>
      </c>
      <c r="C238">
        <v>22</v>
      </c>
      <c r="D238" t="str">
        <f t="shared" si="9"/>
        <v>Young Adults</v>
      </c>
      <c r="E238" t="s">
        <v>35</v>
      </c>
      <c r="F238" t="s">
        <v>27</v>
      </c>
      <c r="G238">
        <v>4927</v>
      </c>
      <c r="H238" t="str">
        <f t="shared" si="10"/>
        <v>4000 - 6000</v>
      </c>
      <c r="I238" s="1">
        <v>42503</v>
      </c>
      <c r="J238">
        <v>5</v>
      </c>
      <c r="K238">
        <v>20</v>
      </c>
      <c r="L238" t="str">
        <f t="shared" si="11"/>
        <v>Manager</v>
      </c>
      <c r="M238" t="s">
        <v>15</v>
      </c>
      <c r="N238" t="s">
        <v>22</v>
      </c>
      <c r="O238" t="s">
        <v>23</v>
      </c>
    </row>
    <row r="239" spans="1:15" x14ac:dyDescent="0.35">
      <c r="A239">
        <v>700</v>
      </c>
      <c r="B239" t="s">
        <v>722</v>
      </c>
      <c r="C239">
        <v>39</v>
      </c>
      <c r="D239" t="str">
        <f t="shared" si="9"/>
        <v>Mid Adults</v>
      </c>
      <c r="E239" t="s">
        <v>13</v>
      </c>
      <c r="F239" t="s">
        <v>27</v>
      </c>
      <c r="G239">
        <v>7614</v>
      </c>
      <c r="H239" t="str">
        <f t="shared" si="10"/>
        <v>6000 - 8000</v>
      </c>
      <c r="I239" s="1">
        <v>44277</v>
      </c>
      <c r="J239">
        <v>0</v>
      </c>
      <c r="K239">
        <v>10</v>
      </c>
      <c r="L239" t="str">
        <f t="shared" si="11"/>
        <v>Consultant</v>
      </c>
      <c r="M239" t="s">
        <v>15</v>
      </c>
      <c r="N239" t="s">
        <v>16</v>
      </c>
      <c r="O239" t="s">
        <v>23</v>
      </c>
    </row>
    <row r="240" spans="1:15" x14ac:dyDescent="0.35">
      <c r="A240">
        <v>702</v>
      </c>
      <c r="B240" t="s">
        <v>724</v>
      </c>
      <c r="C240">
        <v>43</v>
      </c>
      <c r="D240" t="str">
        <f t="shared" si="9"/>
        <v>Mid Adults</v>
      </c>
      <c r="E240" t="s">
        <v>13</v>
      </c>
      <c r="F240" t="s">
        <v>27</v>
      </c>
      <c r="G240">
        <v>4925</v>
      </c>
      <c r="H240" t="str">
        <f t="shared" si="10"/>
        <v>4000 - 6000</v>
      </c>
      <c r="I240" s="1">
        <v>42515</v>
      </c>
      <c r="J240">
        <v>0</v>
      </c>
      <c r="K240">
        <v>3</v>
      </c>
      <c r="L240" t="str">
        <f t="shared" si="11"/>
        <v>Mid-Level</v>
      </c>
      <c r="M240" t="s">
        <v>15</v>
      </c>
      <c r="N240" t="s">
        <v>16</v>
      </c>
      <c r="O240" t="s">
        <v>23</v>
      </c>
    </row>
    <row r="241" spans="1:15" x14ac:dyDescent="0.35">
      <c r="A241">
        <v>706</v>
      </c>
      <c r="B241" t="s">
        <v>728</v>
      </c>
      <c r="C241">
        <v>28</v>
      </c>
      <c r="D241" t="str">
        <f t="shared" si="9"/>
        <v>Early Adults</v>
      </c>
      <c r="E241" t="s">
        <v>13</v>
      </c>
      <c r="F241" t="s">
        <v>20</v>
      </c>
      <c r="G241">
        <v>7873</v>
      </c>
      <c r="H241" t="str">
        <f t="shared" si="10"/>
        <v>6000 - 8000</v>
      </c>
      <c r="I241" s="1">
        <v>44814</v>
      </c>
      <c r="J241">
        <v>3</v>
      </c>
      <c r="K241">
        <v>2</v>
      </c>
      <c r="L241" t="str">
        <f t="shared" si="11"/>
        <v>Junior</v>
      </c>
      <c r="M241" t="s">
        <v>15</v>
      </c>
      <c r="N241" t="s">
        <v>30</v>
      </c>
      <c r="O241" t="s">
        <v>17</v>
      </c>
    </row>
    <row r="242" spans="1:15" x14ac:dyDescent="0.35">
      <c r="A242">
        <v>709</v>
      </c>
      <c r="B242" t="s">
        <v>731</v>
      </c>
      <c r="C242">
        <v>23</v>
      </c>
      <c r="D242" t="str">
        <f t="shared" si="9"/>
        <v>Young Adults</v>
      </c>
      <c r="E242" t="s">
        <v>35</v>
      </c>
      <c r="F242" t="s">
        <v>14</v>
      </c>
      <c r="G242">
        <v>5648</v>
      </c>
      <c r="H242" t="str">
        <f t="shared" si="10"/>
        <v>4000 - 6000</v>
      </c>
      <c r="I242" s="1">
        <v>44017</v>
      </c>
      <c r="J242">
        <v>0</v>
      </c>
      <c r="K242">
        <v>19</v>
      </c>
      <c r="L242" t="str">
        <f t="shared" si="11"/>
        <v>Manager</v>
      </c>
      <c r="M242" t="s">
        <v>15</v>
      </c>
      <c r="N242" t="s">
        <v>16</v>
      </c>
      <c r="O242" t="s">
        <v>25</v>
      </c>
    </row>
    <row r="243" spans="1:15" x14ac:dyDescent="0.35">
      <c r="A243">
        <v>710</v>
      </c>
      <c r="B243" t="s">
        <v>732</v>
      </c>
      <c r="C243">
        <v>54</v>
      </c>
      <c r="D243" t="str">
        <f t="shared" si="9"/>
        <v>Mature Adults</v>
      </c>
      <c r="E243" t="s">
        <v>13</v>
      </c>
      <c r="F243" t="s">
        <v>27</v>
      </c>
      <c r="G243">
        <v>9592</v>
      </c>
      <c r="H243" t="str">
        <f t="shared" si="10"/>
        <v>8000 - 10,000</v>
      </c>
      <c r="I243" s="1">
        <v>43985</v>
      </c>
      <c r="J243">
        <v>0</v>
      </c>
      <c r="K243">
        <v>1</v>
      </c>
      <c r="L243" t="str">
        <f t="shared" si="11"/>
        <v>Junior</v>
      </c>
      <c r="M243" t="s">
        <v>15</v>
      </c>
      <c r="N243" t="s">
        <v>16</v>
      </c>
      <c r="O243" t="s">
        <v>17</v>
      </c>
    </row>
    <row r="244" spans="1:15" x14ac:dyDescent="0.35">
      <c r="A244">
        <v>713</v>
      </c>
      <c r="B244" t="s">
        <v>735</v>
      </c>
      <c r="C244">
        <v>47</v>
      </c>
      <c r="D244" t="str">
        <f t="shared" si="9"/>
        <v>Mature Adults</v>
      </c>
      <c r="E244" t="s">
        <v>35</v>
      </c>
      <c r="F244" t="s">
        <v>14</v>
      </c>
      <c r="G244">
        <v>7123</v>
      </c>
      <c r="H244" t="str">
        <f t="shared" si="10"/>
        <v>6000 - 8000</v>
      </c>
      <c r="I244" s="1">
        <v>43559</v>
      </c>
      <c r="J244">
        <v>0</v>
      </c>
      <c r="K244">
        <v>11</v>
      </c>
      <c r="L244" t="str">
        <f t="shared" si="11"/>
        <v>Consultant</v>
      </c>
      <c r="M244" t="s">
        <v>15</v>
      </c>
      <c r="N244" t="s">
        <v>16</v>
      </c>
      <c r="O244" t="s">
        <v>17</v>
      </c>
    </row>
    <row r="245" spans="1:15" x14ac:dyDescent="0.35">
      <c r="A245">
        <v>723</v>
      </c>
      <c r="B245" t="s">
        <v>745</v>
      </c>
      <c r="C245">
        <v>57</v>
      </c>
      <c r="D245" t="str">
        <f t="shared" si="9"/>
        <v>Seniors</v>
      </c>
      <c r="E245" t="s">
        <v>35</v>
      </c>
      <c r="F245" t="s">
        <v>14</v>
      </c>
      <c r="G245">
        <v>6974</v>
      </c>
      <c r="H245" t="str">
        <f t="shared" si="10"/>
        <v>6000 - 8000</v>
      </c>
      <c r="I245" s="1">
        <v>45517</v>
      </c>
      <c r="J245">
        <v>4</v>
      </c>
      <c r="K245">
        <v>6</v>
      </c>
      <c r="L245" t="str">
        <f t="shared" si="11"/>
        <v>Senior Level</v>
      </c>
      <c r="M245" t="s">
        <v>15</v>
      </c>
      <c r="N245" t="s">
        <v>22</v>
      </c>
      <c r="O245" t="s">
        <v>23</v>
      </c>
    </row>
    <row r="246" spans="1:15" x14ac:dyDescent="0.35">
      <c r="A246">
        <v>725</v>
      </c>
      <c r="B246" t="s">
        <v>747</v>
      </c>
      <c r="C246">
        <v>36</v>
      </c>
      <c r="D246" t="str">
        <f t="shared" si="9"/>
        <v>Mid Adults</v>
      </c>
      <c r="E246" t="s">
        <v>13</v>
      </c>
      <c r="F246" t="s">
        <v>27</v>
      </c>
      <c r="G246">
        <v>4936</v>
      </c>
      <c r="H246" t="str">
        <f t="shared" si="10"/>
        <v>4000 - 6000</v>
      </c>
      <c r="I246" s="1">
        <v>44664</v>
      </c>
      <c r="J246">
        <v>0</v>
      </c>
      <c r="K246">
        <v>12</v>
      </c>
      <c r="L246" t="str">
        <f t="shared" si="11"/>
        <v>Manager</v>
      </c>
      <c r="M246" t="s">
        <v>15</v>
      </c>
      <c r="N246" t="s">
        <v>30</v>
      </c>
      <c r="O246" t="s">
        <v>23</v>
      </c>
    </row>
    <row r="247" spans="1:15" x14ac:dyDescent="0.35">
      <c r="A247">
        <v>727</v>
      </c>
      <c r="B247" t="s">
        <v>749</v>
      </c>
      <c r="C247">
        <v>36</v>
      </c>
      <c r="D247" t="str">
        <f t="shared" si="9"/>
        <v>Mid Adults</v>
      </c>
      <c r="E247" t="s">
        <v>35</v>
      </c>
      <c r="F247" t="s">
        <v>20</v>
      </c>
      <c r="G247">
        <v>2321</v>
      </c>
      <c r="H247" t="str">
        <f t="shared" si="10"/>
        <v>2000 - 4000</v>
      </c>
      <c r="I247" s="1">
        <v>45271</v>
      </c>
      <c r="J247">
        <v>0</v>
      </c>
      <c r="K247">
        <v>1</v>
      </c>
      <c r="L247" t="str">
        <f t="shared" si="11"/>
        <v>Junior</v>
      </c>
      <c r="M247" t="s">
        <v>15</v>
      </c>
      <c r="N247" t="s">
        <v>30</v>
      </c>
      <c r="O247" t="s">
        <v>23</v>
      </c>
    </row>
    <row r="248" spans="1:15" x14ac:dyDescent="0.35">
      <c r="A248">
        <v>728</v>
      </c>
      <c r="B248" t="s">
        <v>750</v>
      </c>
      <c r="C248">
        <v>60</v>
      </c>
      <c r="D248" t="str">
        <f t="shared" si="9"/>
        <v>Seniors</v>
      </c>
      <c r="E248" t="s">
        <v>35</v>
      </c>
      <c r="F248" t="s">
        <v>14</v>
      </c>
      <c r="G248">
        <v>5312</v>
      </c>
      <c r="H248" t="str">
        <f t="shared" si="10"/>
        <v>4000 - 6000</v>
      </c>
      <c r="I248" s="1">
        <v>44468</v>
      </c>
      <c r="J248">
        <v>0</v>
      </c>
      <c r="K248">
        <v>8</v>
      </c>
      <c r="L248" t="str">
        <f t="shared" si="11"/>
        <v>Consultant</v>
      </c>
      <c r="M248" t="s">
        <v>15</v>
      </c>
      <c r="N248" t="s">
        <v>22</v>
      </c>
      <c r="O248" t="s">
        <v>17</v>
      </c>
    </row>
    <row r="249" spans="1:15" x14ac:dyDescent="0.35">
      <c r="A249">
        <v>731</v>
      </c>
      <c r="B249" t="s">
        <v>753</v>
      </c>
      <c r="C249">
        <v>40</v>
      </c>
      <c r="D249" t="str">
        <f t="shared" si="9"/>
        <v>Mid Adults</v>
      </c>
      <c r="E249" t="s">
        <v>13</v>
      </c>
      <c r="F249" t="s">
        <v>27</v>
      </c>
      <c r="G249">
        <v>6352</v>
      </c>
      <c r="H249" t="str">
        <f t="shared" si="10"/>
        <v>6000 - 8000</v>
      </c>
      <c r="I249" s="1">
        <v>43985</v>
      </c>
      <c r="J249">
        <v>2</v>
      </c>
      <c r="K249">
        <v>4</v>
      </c>
      <c r="L249" t="str">
        <f t="shared" si="11"/>
        <v>Mid-Level</v>
      </c>
      <c r="M249" t="s">
        <v>15</v>
      </c>
      <c r="N249" t="s">
        <v>22</v>
      </c>
      <c r="O249" t="s">
        <v>25</v>
      </c>
    </row>
    <row r="250" spans="1:15" x14ac:dyDescent="0.35">
      <c r="A250">
        <v>732</v>
      </c>
      <c r="B250" t="s">
        <v>754</v>
      </c>
      <c r="C250">
        <v>36</v>
      </c>
      <c r="D250" t="str">
        <f t="shared" si="9"/>
        <v>Mid Adults</v>
      </c>
      <c r="E250" t="s">
        <v>35</v>
      </c>
      <c r="F250" t="s">
        <v>14</v>
      </c>
      <c r="G250">
        <v>7378</v>
      </c>
      <c r="H250" t="str">
        <f t="shared" si="10"/>
        <v>6000 - 8000</v>
      </c>
      <c r="I250" s="1">
        <v>42669</v>
      </c>
      <c r="J250">
        <v>0</v>
      </c>
      <c r="K250">
        <v>2</v>
      </c>
      <c r="L250" t="str">
        <f t="shared" si="11"/>
        <v>Junior</v>
      </c>
      <c r="M250" t="s">
        <v>15</v>
      </c>
      <c r="N250" t="s">
        <v>30</v>
      </c>
      <c r="O250" t="s">
        <v>25</v>
      </c>
    </row>
    <row r="251" spans="1:15" x14ac:dyDescent="0.35">
      <c r="A251">
        <v>734</v>
      </c>
      <c r="B251" t="s">
        <v>756</v>
      </c>
      <c r="C251">
        <v>44</v>
      </c>
      <c r="D251" t="str">
        <f t="shared" si="9"/>
        <v>Mid Adults</v>
      </c>
      <c r="E251" t="s">
        <v>35</v>
      </c>
      <c r="F251" t="s">
        <v>14</v>
      </c>
      <c r="G251">
        <v>5551</v>
      </c>
      <c r="H251" t="str">
        <f t="shared" si="10"/>
        <v>4000 - 6000</v>
      </c>
      <c r="I251" s="1">
        <v>44452</v>
      </c>
      <c r="J251">
        <v>3</v>
      </c>
      <c r="K251">
        <v>17</v>
      </c>
      <c r="L251" t="str">
        <f t="shared" si="11"/>
        <v>Manager</v>
      </c>
      <c r="M251" t="s">
        <v>15</v>
      </c>
      <c r="N251" t="s">
        <v>30</v>
      </c>
      <c r="O251" t="s">
        <v>17</v>
      </c>
    </row>
    <row r="252" spans="1:15" x14ac:dyDescent="0.35">
      <c r="A252">
        <v>735</v>
      </c>
      <c r="B252" t="s">
        <v>757</v>
      </c>
      <c r="C252">
        <v>44</v>
      </c>
      <c r="D252" t="str">
        <f t="shared" si="9"/>
        <v>Mid Adults</v>
      </c>
      <c r="E252" t="s">
        <v>13</v>
      </c>
      <c r="F252" t="s">
        <v>20</v>
      </c>
      <c r="G252">
        <v>2683</v>
      </c>
      <c r="H252" t="str">
        <f t="shared" si="10"/>
        <v>2000 - 4000</v>
      </c>
      <c r="I252" s="1">
        <v>43373</v>
      </c>
      <c r="J252">
        <v>3</v>
      </c>
      <c r="K252">
        <v>3</v>
      </c>
      <c r="L252" t="str">
        <f t="shared" si="11"/>
        <v>Mid-Level</v>
      </c>
      <c r="M252" t="s">
        <v>15</v>
      </c>
      <c r="N252" t="s">
        <v>22</v>
      </c>
      <c r="O252" t="s">
        <v>25</v>
      </c>
    </row>
    <row r="253" spans="1:15" x14ac:dyDescent="0.35">
      <c r="A253">
        <v>741</v>
      </c>
      <c r="B253" t="s">
        <v>763</v>
      </c>
      <c r="C253">
        <v>41</v>
      </c>
      <c r="D253" t="str">
        <f t="shared" si="9"/>
        <v>Mid Adults</v>
      </c>
      <c r="E253" t="s">
        <v>13</v>
      </c>
      <c r="F253" t="s">
        <v>20</v>
      </c>
      <c r="G253">
        <v>8189</v>
      </c>
      <c r="H253" t="str">
        <f t="shared" si="10"/>
        <v>8000 - 10,000</v>
      </c>
      <c r="I253" s="1">
        <v>42655</v>
      </c>
      <c r="J253">
        <v>0</v>
      </c>
      <c r="K253">
        <v>3</v>
      </c>
      <c r="L253" t="str">
        <f t="shared" si="11"/>
        <v>Mid-Level</v>
      </c>
      <c r="M253" t="s">
        <v>15</v>
      </c>
      <c r="N253" t="s">
        <v>30</v>
      </c>
      <c r="O253" t="s">
        <v>25</v>
      </c>
    </row>
    <row r="254" spans="1:15" x14ac:dyDescent="0.35">
      <c r="A254">
        <v>744</v>
      </c>
      <c r="B254" t="s">
        <v>766</v>
      </c>
      <c r="C254">
        <v>34</v>
      </c>
      <c r="D254" t="str">
        <f t="shared" si="9"/>
        <v>Early Adults</v>
      </c>
      <c r="E254" t="s">
        <v>13</v>
      </c>
      <c r="F254" t="s">
        <v>20</v>
      </c>
      <c r="G254">
        <v>2786</v>
      </c>
      <c r="H254" t="str">
        <f t="shared" si="10"/>
        <v>2000 - 4000</v>
      </c>
      <c r="I254" s="1">
        <v>42943</v>
      </c>
      <c r="J254">
        <v>1</v>
      </c>
      <c r="K254">
        <v>6</v>
      </c>
      <c r="L254" t="str">
        <f t="shared" si="11"/>
        <v>Senior Level</v>
      </c>
      <c r="M254" t="s">
        <v>15</v>
      </c>
      <c r="N254" t="s">
        <v>22</v>
      </c>
      <c r="O254" t="s">
        <v>23</v>
      </c>
    </row>
    <row r="255" spans="1:15" x14ac:dyDescent="0.35">
      <c r="A255">
        <v>748</v>
      </c>
      <c r="B255" t="s">
        <v>770</v>
      </c>
      <c r="C255">
        <v>58</v>
      </c>
      <c r="D255" t="str">
        <f t="shared" si="9"/>
        <v>Seniors</v>
      </c>
      <c r="E255" t="s">
        <v>35</v>
      </c>
      <c r="F255" t="s">
        <v>20</v>
      </c>
      <c r="G255">
        <v>2451</v>
      </c>
      <c r="H255" t="str">
        <f t="shared" si="10"/>
        <v>2000 - 4000</v>
      </c>
      <c r="I255" s="1">
        <v>44157</v>
      </c>
      <c r="J255">
        <v>4</v>
      </c>
      <c r="K255">
        <v>2</v>
      </c>
      <c r="L255" t="str">
        <f t="shared" si="11"/>
        <v>Junior</v>
      </c>
      <c r="M255" t="s">
        <v>15</v>
      </c>
      <c r="N255" t="s">
        <v>16</v>
      </c>
      <c r="O255" t="s">
        <v>17</v>
      </c>
    </row>
    <row r="256" spans="1:15" x14ac:dyDescent="0.35">
      <c r="A256">
        <v>750</v>
      </c>
      <c r="B256" t="s">
        <v>772</v>
      </c>
      <c r="C256">
        <v>36</v>
      </c>
      <c r="D256" t="str">
        <f t="shared" si="9"/>
        <v>Mid Adults</v>
      </c>
      <c r="E256" t="s">
        <v>35</v>
      </c>
      <c r="F256" t="s">
        <v>27</v>
      </c>
      <c r="G256">
        <v>2162</v>
      </c>
      <c r="H256" t="str">
        <f t="shared" si="10"/>
        <v>2000 - 4000</v>
      </c>
      <c r="I256" s="1">
        <v>43607</v>
      </c>
      <c r="J256">
        <v>0</v>
      </c>
      <c r="K256">
        <v>7</v>
      </c>
      <c r="L256" t="str">
        <f t="shared" si="11"/>
        <v>Senior Level</v>
      </c>
      <c r="M256" t="s">
        <v>15</v>
      </c>
      <c r="N256" t="s">
        <v>16</v>
      </c>
      <c r="O256" t="s">
        <v>25</v>
      </c>
    </row>
    <row r="257" spans="1:15" x14ac:dyDescent="0.35">
      <c r="A257">
        <v>751</v>
      </c>
      <c r="B257" t="s">
        <v>773</v>
      </c>
      <c r="C257">
        <v>45</v>
      </c>
      <c r="D257" t="str">
        <f t="shared" si="9"/>
        <v>Mature Adults</v>
      </c>
      <c r="E257" t="s">
        <v>35</v>
      </c>
      <c r="F257" t="s">
        <v>27</v>
      </c>
      <c r="G257">
        <v>2532</v>
      </c>
      <c r="H257" t="str">
        <f t="shared" si="10"/>
        <v>2000 - 4000</v>
      </c>
      <c r="I257" s="1">
        <v>44341</v>
      </c>
      <c r="J257">
        <v>3</v>
      </c>
      <c r="K257">
        <v>7</v>
      </c>
      <c r="L257" t="str">
        <f t="shared" si="11"/>
        <v>Senior Level</v>
      </c>
      <c r="M257" t="s">
        <v>15</v>
      </c>
      <c r="N257" t="s">
        <v>16</v>
      </c>
      <c r="O257" t="s">
        <v>17</v>
      </c>
    </row>
    <row r="258" spans="1:15" x14ac:dyDescent="0.35">
      <c r="A258">
        <v>754</v>
      </c>
      <c r="B258" t="s">
        <v>776</v>
      </c>
      <c r="C258">
        <v>28</v>
      </c>
      <c r="D258" t="str">
        <f t="shared" si="9"/>
        <v>Early Adults</v>
      </c>
      <c r="E258" t="s">
        <v>13</v>
      </c>
      <c r="F258" t="s">
        <v>27</v>
      </c>
      <c r="G258">
        <v>9146</v>
      </c>
      <c r="H258" t="str">
        <f t="shared" si="10"/>
        <v>8000 - 10,000</v>
      </c>
      <c r="I258" s="1">
        <v>44850</v>
      </c>
      <c r="J258">
        <v>5</v>
      </c>
      <c r="K258">
        <v>13</v>
      </c>
      <c r="L258" t="str">
        <f t="shared" si="11"/>
        <v>Manager</v>
      </c>
      <c r="M258" t="s">
        <v>15</v>
      </c>
      <c r="N258" t="s">
        <v>30</v>
      </c>
      <c r="O258" t="s">
        <v>23</v>
      </c>
    </row>
    <row r="259" spans="1:15" x14ac:dyDescent="0.35">
      <c r="A259">
        <v>755</v>
      </c>
      <c r="B259" t="s">
        <v>777</v>
      </c>
      <c r="C259">
        <v>39</v>
      </c>
      <c r="D259" t="str">
        <f t="shared" ref="D259:D322" si="12">IF(C:C&gt;=55,"Seniors",IF(C:C&gt;=45,"Mature Adults",IF(C:C&gt;=35,"Mid Adults",IF(C:C&gt;=25,"Early Adults",IF(C:C&gt;=18,"Young Adults")))))</f>
        <v>Mid Adults</v>
      </c>
      <c r="E259" t="s">
        <v>35</v>
      </c>
      <c r="F259" t="s">
        <v>14</v>
      </c>
      <c r="G259">
        <v>8348</v>
      </c>
      <c r="H259" t="str">
        <f t="shared" ref="H259:H322" si="13">IF(G:G&gt;=8000,"8000 - 10,000",IF(G:G&gt;=6000,"6000 - 8000",IF(G:G&gt;=4000,"4000 - 6000",IF(G:G&gt;=2000,"2000 - 4000"))))</f>
        <v>8000 - 10,000</v>
      </c>
      <c r="I259" s="1">
        <v>45088</v>
      </c>
      <c r="J259">
        <v>0</v>
      </c>
      <c r="K259">
        <v>19</v>
      </c>
      <c r="L259" t="str">
        <f t="shared" ref="L259:L322" si="14">IF(K:K&gt;=12,"Manager",IF(K:K&gt;=8,"Consultant",IF(K:K&gt;=5,"Senior Level",IF(K:K&gt;=3,"Mid-Level",IF(K:K&gt;=1,"Junior")))))</f>
        <v>Manager</v>
      </c>
      <c r="M259" t="s">
        <v>15</v>
      </c>
      <c r="N259" t="s">
        <v>30</v>
      </c>
      <c r="O259" t="s">
        <v>25</v>
      </c>
    </row>
    <row r="260" spans="1:15" x14ac:dyDescent="0.35">
      <c r="A260">
        <v>757</v>
      </c>
      <c r="B260" t="s">
        <v>779</v>
      </c>
      <c r="C260">
        <v>38</v>
      </c>
      <c r="D260" t="str">
        <f t="shared" si="12"/>
        <v>Mid Adults</v>
      </c>
      <c r="E260" t="s">
        <v>35</v>
      </c>
      <c r="F260" t="s">
        <v>20</v>
      </c>
      <c r="G260">
        <v>9666</v>
      </c>
      <c r="H260" t="str">
        <f t="shared" si="13"/>
        <v>8000 - 10,000</v>
      </c>
      <c r="I260" s="1">
        <v>42474</v>
      </c>
      <c r="J260">
        <v>0</v>
      </c>
      <c r="K260">
        <v>15</v>
      </c>
      <c r="L260" t="str">
        <f t="shared" si="14"/>
        <v>Manager</v>
      </c>
      <c r="M260" t="s">
        <v>15</v>
      </c>
      <c r="N260" t="s">
        <v>22</v>
      </c>
      <c r="O260" t="s">
        <v>25</v>
      </c>
    </row>
    <row r="261" spans="1:15" x14ac:dyDescent="0.35">
      <c r="A261">
        <v>759</v>
      </c>
      <c r="B261" t="s">
        <v>781</v>
      </c>
      <c r="C261">
        <v>53</v>
      </c>
      <c r="D261" t="str">
        <f t="shared" si="12"/>
        <v>Mature Adults</v>
      </c>
      <c r="E261" t="s">
        <v>35</v>
      </c>
      <c r="F261" t="s">
        <v>20</v>
      </c>
      <c r="G261">
        <v>9917</v>
      </c>
      <c r="H261" t="str">
        <f t="shared" si="13"/>
        <v>8000 - 10,000</v>
      </c>
      <c r="I261" s="1">
        <v>42923</v>
      </c>
      <c r="J261">
        <v>1</v>
      </c>
      <c r="K261">
        <v>16</v>
      </c>
      <c r="L261" t="str">
        <f t="shared" si="14"/>
        <v>Manager</v>
      </c>
      <c r="M261" t="s">
        <v>15</v>
      </c>
      <c r="N261" t="s">
        <v>22</v>
      </c>
      <c r="O261" t="s">
        <v>23</v>
      </c>
    </row>
    <row r="262" spans="1:15" x14ac:dyDescent="0.35">
      <c r="A262">
        <v>763</v>
      </c>
      <c r="B262" t="s">
        <v>785</v>
      </c>
      <c r="C262">
        <v>51</v>
      </c>
      <c r="D262" t="str">
        <f t="shared" si="12"/>
        <v>Mature Adults</v>
      </c>
      <c r="E262" t="s">
        <v>13</v>
      </c>
      <c r="F262" t="s">
        <v>27</v>
      </c>
      <c r="G262">
        <v>9654</v>
      </c>
      <c r="H262" t="str">
        <f t="shared" si="13"/>
        <v>8000 - 10,000</v>
      </c>
      <c r="I262" s="1">
        <v>44666</v>
      </c>
      <c r="J262">
        <v>1</v>
      </c>
      <c r="K262">
        <v>11</v>
      </c>
      <c r="L262" t="str">
        <f t="shared" si="14"/>
        <v>Consultant</v>
      </c>
      <c r="M262" t="s">
        <v>15</v>
      </c>
      <c r="N262" t="s">
        <v>22</v>
      </c>
      <c r="O262" t="s">
        <v>17</v>
      </c>
    </row>
    <row r="263" spans="1:15" x14ac:dyDescent="0.35">
      <c r="A263">
        <v>768</v>
      </c>
      <c r="B263" t="s">
        <v>790</v>
      </c>
      <c r="C263">
        <v>27</v>
      </c>
      <c r="D263" t="str">
        <f t="shared" si="12"/>
        <v>Early Adults</v>
      </c>
      <c r="E263" t="s">
        <v>13</v>
      </c>
      <c r="F263" t="s">
        <v>20</v>
      </c>
      <c r="G263">
        <v>6086</v>
      </c>
      <c r="H263" t="str">
        <f t="shared" si="13"/>
        <v>6000 - 8000</v>
      </c>
      <c r="I263" s="1">
        <v>42526</v>
      </c>
      <c r="J263">
        <v>2</v>
      </c>
      <c r="K263">
        <v>1</v>
      </c>
      <c r="L263" t="str">
        <f t="shared" si="14"/>
        <v>Junior</v>
      </c>
      <c r="M263" t="s">
        <v>15</v>
      </c>
      <c r="N263" t="s">
        <v>30</v>
      </c>
      <c r="O263" t="s">
        <v>17</v>
      </c>
    </row>
    <row r="264" spans="1:15" x14ac:dyDescent="0.35">
      <c r="A264">
        <v>771</v>
      </c>
      <c r="B264" t="s">
        <v>793</v>
      </c>
      <c r="C264">
        <v>64</v>
      </c>
      <c r="D264" t="str">
        <f t="shared" si="12"/>
        <v>Seniors</v>
      </c>
      <c r="E264" t="s">
        <v>13</v>
      </c>
      <c r="F264" t="s">
        <v>20</v>
      </c>
      <c r="G264">
        <v>7841</v>
      </c>
      <c r="H264" t="str">
        <f t="shared" si="13"/>
        <v>6000 - 8000</v>
      </c>
      <c r="I264" s="1">
        <v>42976</v>
      </c>
      <c r="J264">
        <v>3</v>
      </c>
      <c r="K264">
        <v>14</v>
      </c>
      <c r="L264" t="str">
        <f t="shared" si="14"/>
        <v>Manager</v>
      </c>
      <c r="M264" t="s">
        <v>15</v>
      </c>
      <c r="N264" t="s">
        <v>30</v>
      </c>
      <c r="O264" t="s">
        <v>17</v>
      </c>
    </row>
    <row r="265" spans="1:15" x14ac:dyDescent="0.35">
      <c r="A265">
        <v>776</v>
      </c>
      <c r="B265" t="s">
        <v>798</v>
      </c>
      <c r="C265">
        <v>53</v>
      </c>
      <c r="D265" t="str">
        <f t="shared" si="12"/>
        <v>Mature Adults</v>
      </c>
      <c r="E265" t="s">
        <v>35</v>
      </c>
      <c r="F265" t="s">
        <v>14</v>
      </c>
      <c r="G265">
        <v>7659</v>
      </c>
      <c r="H265" t="str">
        <f t="shared" si="13"/>
        <v>6000 - 8000</v>
      </c>
      <c r="I265" s="1">
        <v>44076</v>
      </c>
      <c r="J265">
        <v>3</v>
      </c>
      <c r="K265">
        <v>16</v>
      </c>
      <c r="L265" t="str">
        <f t="shared" si="14"/>
        <v>Manager</v>
      </c>
      <c r="M265" t="s">
        <v>15</v>
      </c>
      <c r="N265" t="s">
        <v>22</v>
      </c>
      <c r="O265" t="s">
        <v>23</v>
      </c>
    </row>
    <row r="266" spans="1:15" x14ac:dyDescent="0.35">
      <c r="A266">
        <v>781</v>
      </c>
      <c r="B266" t="s">
        <v>803</v>
      </c>
      <c r="C266">
        <v>44</v>
      </c>
      <c r="D266" t="str">
        <f t="shared" si="12"/>
        <v>Mid Adults</v>
      </c>
      <c r="E266" t="s">
        <v>35</v>
      </c>
      <c r="F266" t="s">
        <v>27</v>
      </c>
      <c r="G266">
        <v>6141</v>
      </c>
      <c r="H266" t="str">
        <f t="shared" si="13"/>
        <v>6000 - 8000</v>
      </c>
      <c r="I266" s="1">
        <v>42870</v>
      </c>
      <c r="J266">
        <v>3</v>
      </c>
      <c r="K266">
        <v>1</v>
      </c>
      <c r="L266" t="str">
        <f t="shared" si="14"/>
        <v>Junior</v>
      </c>
      <c r="M266" t="s">
        <v>15</v>
      </c>
      <c r="N266" t="s">
        <v>22</v>
      </c>
      <c r="O266" t="s">
        <v>23</v>
      </c>
    </row>
    <row r="267" spans="1:15" x14ac:dyDescent="0.35">
      <c r="A267">
        <v>782</v>
      </c>
      <c r="B267" t="s">
        <v>804</v>
      </c>
      <c r="C267">
        <v>18</v>
      </c>
      <c r="D267" t="str">
        <f t="shared" si="12"/>
        <v>Young Adults</v>
      </c>
      <c r="E267" t="s">
        <v>35</v>
      </c>
      <c r="F267" t="s">
        <v>14</v>
      </c>
      <c r="G267">
        <v>2973</v>
      </c>
      <c r="H267" t="str">
        <f t="shared" si="13"/>
        <v>2000 - 4000</v>
      </c>
      <c r="I267" s="1">
        <v>43614</v>
      </c>
      <c r="J267">
        <v>0</v>
      </c>
      <c r="K267">
        <v>4</v>
      </c>
      <c r="L267" t="str">
        <f t="shared" si="14"/>
        <v>Mid-Level</v>
      </c>
      <c r="M267" t="s">
        <v>15</v>
      </c>
      <c r="N267" t="s">
        <v>30</v>
      </c>
      <c r="O267" t="s">
        <v>25</v>
      </c>
    </row>
    <row r="268" spans="1:15" x14ac:dyDescent="0.35">
      <c r="A268">
        <v>784</v>
      </c>
      <c r="B268" t="s">
        <v>806</v>
      </c>
      <c r="C268">
        <v>46</v>
      </c>
      <c r="D268" t="str">
        <f t="shared" si="12"/>
        <v>Mature Adults</v>
      </c>
      <c r="E268" t="s">
        <v>35</v>
      </c>
      <c r="F268" t="s">
        <v>27</v>
      </c>
      <c r="G268">
        <v>5031</v>
      </c>
      <c r="H268" t="str">
        <f t="shared" si="13"/>
        <v>4000 - 6000</v>
      </c>
      <c r="I268" s="1">
        <v>43267</v>
      </c>
      <c r="J268">
        <v>0</v>
      </c>
      <c r="K268">
        <v>7</v>
      </c>
      <c r="L268" t="str">
        <f t="shared" si="14"/>
        <v>Senior Level</v>
      </c>
      <c r="M268" t="s">
        <v>15</v>
      </c>
      <c r="N268" t="s">
        <v>16</v>
      </c>
      <c r="O268" t="s">
        <v>25</v>
      </c>
    </row>
    <row r="269" spans="1:15" x14ac:dyDescent="0.35">
      <c r="A269">
        <v>785</v>
      </c>
      <c r="B269" t="s">
        <v>807</v>
      </c>
      <c r="C269">
        <v>49</v>
      </c>
      <c r="D269" t="str">
        <f t="shared" si="12"/>
        <v>Mature Adults</v>
      </c>
      <c r="E269" t="s">
        <v>35</v>
      </c>
      <c r="F269" t="s">
        <v>14</v>
      </c>
      <c r="G269">
        <v>4679</v>
      </c>
      <c r="H269" t="str">
        <f t="shared" si="13"/>
        <v>4000 - 6000</v>
      </c>
      <c r="I269" s="1">
        <v>44892</v>
      </c>
      <c r="J269">
        <v>0</v>
      </c>
      <c r="K269">
        <v>15</v>
      </c>
      <c r="L269" t="str">
        <f t="shared" si="14"/>
        <v>Manager</v>
      </c>
      <c r="M269" t="s">
        <v>15</v>
      </c>
      <c r="N269" t="s">
        <v>30</v>
      </c>
      <c r="O269" t="s">
        <v>25</v>
      </c>
    </row>
    <row r="270" spans="1:15" x14ac:dyDescent="0.35">
      <c r="A270">
        <v>793</v>
      </c>
      <c r="B270" t="s">
        <v>814</v>
      </c>
      <c r="C270">
        <v>28</v>
      </c>
      <c r="D270" t="str">
        <f t="shared" si="12"/>
        <v>Early Adults</v>
      </c>
      <c r="E270" t="s">
        <v>13</v>
      </c>
      <c r="F270" t="s">
        <v>27</v>
      </c>
      <c r="G270">
        <v>9518</v>
      </c>
      <c r="H270" t="str">
        <f t="shared" si="13"/>
        <v>8000 - 10,000</v>
      </c>
      <c r="I270" s="1">
        <v>45570</v>
      </c>
      <c r="J270">
        <v>0</v>
      </c>
      <c r="K270">
        <v>9</v>
      </c>
      <c r="L270" t="str">
        <f t="shared" si="14"/>
        <v>Consultant</v>
      </c>
      <c r="M270" t="s">
        <v>15</v>
      </c>
      <c r="N270" t="s">
        <v>22</v>
      </c>
      <c r="O270" t="s">
        <v>17</v>
      </c>
    </row>
    <row r="271" spans="1:15" x14ac:dyDescent="0.35">
      <c r="A271">
        <v>794</v>
      </c>
      <c r="B271" t="s">
        <v>815</v>
      </c>
      <c r="C271">
        <v>30</v>
      </c>
      <c r="D271" t="str">
        <f t="shared" si="12"/>
        <v>Early Adults</v>
      </c>
      <c r="E271" t="s">
        <v>13</v>
      </c>
      <c r="F271" t="s">
        <v>14</v>
      </c>
      <c r="G271">
        <v>2912</v>
      </c>
      <c r="H271" t="str">
        <f t="shared" si="13"/>
        <v>2000 - 4000</v>
      </c>
      <c r="I271" s="1">
        <v>43455</v>
      </c>
      <c r="J271">
        <v>0</v>
      </c>
      <c r="K271">
        <v>11</v>
      </c>
      <c r="L271" t="str">
        <f t="shared" si="14"/>
        <v>Consultant</v>
      </c>
      <c r="M271" t="s">
        <v>15</v>
      </c>
      <c r="N271" t="s">
        <v>16</v>
      </c>
      <c r="O271" t="s">
        <v>25</v>
      </c>
    </row>
    <row r="272" spans="1:15" x14ac:dyDescent="0.35">
      <c r="A272">
        <v>799</v>
      </c>
      <c r="B272" t="s">
        <v>820</v>
      </c>
      <c r="C272">
        <v>49</v>
      </c>
      <c r="D272" t="str">
        <f t="shared" si="12"/>
        <v>Mature Adults</v>
      </c>
      <c r="E272" t="s">
        <v>13</v>
      </c>
      <c r="F272" t="s">
        <v>27</v>
      </c>
      <c r="G272">
        <v>5690</v>
      </c>
      <c r="H272" t="str">
        <f t="shared" si="13"/>
        <v>4000 - 6000</v>
      </c>
      <c r="I272" s="1">
        <v>42409</v>
      </c>
      <c r="J272">
        <v>0</v>
      </c>
      <c r="K272">
        <v>20</v>
      </c>
      <c r="L272" t="str">
        <f t="shared" si="14"/>
        <v>Manager</v>
      </c>
      <c r="M272" t="s">
        <v>15</v>
      </c>
      <c r="N272" t="s">
        <v>16</v>
      </c>
      <c r="O272" t="s">
        <v>25</v>
      </c>
    </row>
    <row r="273" spans="1:15" x14ac:dyDescent="0.35">
      <c r="A273">
        <v>800</v>
      </c>
      <c r="B273" t="s">
        <v>821</v>
      </c>
      <c r="C273">
        <v>52</v>
      </c>
      <c r="D273" t="str">
        <f t="shared" si="12"/>
        <v>Mature Adults</v>
      </c>
      <c r="E273" t="s">
        <v>13</v>
      </c>
      <c r="F273" t="s">
        <v>14</v>
      </c>
      <c r="G273">
        <v>7496</v>
      </c>
      <c r="H273" t="str">
        <f t="shared" si="13"/>
        <v>6000 - 8000</v>
      </c>
      <c r="I273" s="1">
        <v>43612</v>
      </c>
      <c r="J273">
        <v>3</v>
      </c>
      <c r="K273">
        <v>6</v>
      </c>
      <c r="L273" t="str">
        <f t="shared" si="14"/>
        <v>Senior Level</v>
      </c>
      <c r="M273" t="s">
        <v>15</v>
      </c>
      <c r="N273" t="s">
        <v>22</v>
      </c>
      <c r="O273" t="s">
        <v>17</v>
      </c>
    </row>
    <row r="274" spans="1:15" x14ac:dyDescent="0.35">
      <c r="A274">
        <v>802</v>
      </c>
      <c r="B274" t="s">
        <v>823</v>
      </c>
      <c r="C274">
        <v>52</v>
      </c>
      <c r="D274" t="str">
        <f t="shared" si="12"/>
        <v>Mature Adults</v>
      </c>
      <c r="E274" t="s">
        <v>35</v>
      </c>
      <c r="F274" t="s">
        <v>20</v>
      </c>
      <c r="G274">
        <v>4721</v>
      </c>
      <c r="H274" t="str">
        <f t="shared" si="13"/>
        <v>4000 - 6000</v>
      </c>
      <c r="I274" s="1">
        <v>45299</v>
      </c>
      <c r="J274">
        <v>3</v>
      </c>
      <c r="K274">
        <v>7</v>
      </c>
      <c r="L274" t="str">
        <f t="shared" si="14"/>
        <v>Senior Level</v>
      </c>
      <c r="M274" t="s">
        <v>15</v>
      </c>
      <c r="N274" t="s">
        <v>30</v>
      </c>
      <c r="O274" t="s">
        <v>17</v>
      </c>
    </row>
    <row r="275" spans="1:15" x14ac:dyDescent="0.35">
      <c r="A275">
        <v>803</v>
      </c>
      <c r="B275" t="s">
        <v>824</v>
      </c>
      <c r="C275">
        <v>27</v>
      </c>
      <c r="D275" t="str">
        <f t="shared" si="12"/>
        <v>Early Adults</v>
      </c>
      <c r="E275" t="s">
        <v>35</v>
      </c>
      <c r="F275" t="s">
        <v>14</v>
      </c>
      <c r="G275">
        <v>6247</v>
      </c>
      <c r="H275" t="str">
        <f t="shared" si="13"/>
        <v>6000 - 8000</v>
      </c>
      <c r="I275" s="1">
        <v>45371</v>
      </c>
      <c r="J275">
        <v>2</v>
      </c>
      <c r="K275">
        <v>9</v>
      </c>
      <c r="L275" t="str">
        <f t="shared" si="14"/>
        <v>Consultant</v>
      </c>
      <c r="M275" t="s">
        <v>15</v>
      </c>
      <c r="N275" t="s">
        <v>22</v>
      </c>
      <c r="O275" t="s">
        <v>25</v>
      </c>
    </row>
    <row r="276" spans="1:15" x14ac:dyDescent="0.35">
      <c r="A276">
        <v>808</v>
      </c>
      <c r="B276" t="s">
        <v>829</v>
      </c>
      <c r="C276">
        <v>58</v>
      </c>
      <c r="D276" t="str">
        <f t="shared" si="12"/>
        <v>Seniors</v>
      </c>
      <c r="E276" t="s">
        <v>13</v>
      </c>
      <c r="F276" t="s">
        <v>14</v>
      </c>
      <c r="G276">
        <v>3241</v>
      </c>
      <c r="H276" t="str">
        <f t="shared" si="13"/>
        <v>2000 - 4000</v>
      </c>
      <c r="I276" s="1">
        <v>45185</v>
      </c>
      <c r="J276">
        <v>2</v>
      </c>
      <c r="K276">
        <v>6</v>
      </c>
      <c r="L276" t="str">
        <f t="shared" si="14"/>
        <v>Senior Level</v>
      </c>
      <c r="M276" t="s">
        <v>15</v>
      </c>
      <c r="N276" t="s">
        <v>30</v>
      </c>
      <c r="O276" t="s">
        <v>23</v>
      </c>
    </row>
    <row r="277" spans="1:15" x14ac:dyDescent="0.35">
      <c r="A277">
        <v>809</v>
      </c>
      <c r="B277" t="s">
        <v>830</v>
      </c>
      <c r="C277">
        <v>44</v>
      </c>
      <c r="D277" t="str">
        <f t="shared" si="12"/>
        <v>Mid Adults</v>
      </c>
      <c r="E277" t="s">
        <v>35</v>
      </c>
      <c r="F277" t="s">
        <v>27</v>
      </c>
      <c r="G277">
        <v>9092</v>
      </c>
      <c r="H277" t="str">
        <f t="shared" si="13"/>
        <v>8000 - 10,000</v>
      </c>
      <c r="I277" s="1">
        <v>43262</v>
      </c>
      <c r="J277">
        <v>2</v>
      </c>
      <c r="K277">
        <v>20</v>
      </c>
      <c r="L277" t="str">
        <f t="shared" si="14"/>
        <v>Manager</v>
      </c>
      <c r="M277" t="s">
        <v>15</v>
      </c>
      <c r="N277" t="s">
        <v>30</v>
      </c>
      <c r="O277" t="s">
        <v>25</v>
      </c>
    </row>
    <row r="278" spans="1:15" x14ac:dyDescent="0.35">
      <c r="A278">
        <v>810</v>
      </c>
      <c r="B278" t="s">
        <v>831</v>
      </c>
      <c r="C278">
        <v>60</v>
      </c>
      <c r="D278" t="str">
        <f t="shared" si="12"/>
        <v>Seniors</v>
      </c>
      <c r="E278" t="s">
        <v>13</v>
      </c>
      <c r="F278" t="s">
        <v>14</v>
      </c>
      <c r="G278">
        <v>3710</v>
      </c>
      <c r="H278" t="str">
        <f t="shared" si="13"/>
        <v>2000 - 4000</v>
      </c>
      <c r="I278" s="1">
        <v>45119</v>
      </c>
      <c r="J278">
        <v>0</v>
      </c>
      <c r="K278">
        <v>19</v>
      </c>
      <c r="L278" t="str">
        <f t="shared" si="14"/>
        <v>Manager</v>
      </c>
      <c r="M278" t="s">
        <v>15</v>
      </c>
      <c r="N278" t="s">
        <v>22</v>
      </c>
      <c r="O278" t="s">
        <v>23</v>
      </c>
    </row>
    <row r="279" spans="1:15" x14ac:dyDescent="0.35">
      <c r="A279">
        <v>812</v>
      </c>
      <c r="B279" t="s">
        <v>833</v>
      </c>
      <c r="C279">
        <v>52</v>
      </c>
      <c r="D279" t="str">
        <f t="shared" si="12"/>
        <v>Mature Adults</v>
      </c>
      <c r="E279" t="s">
        <v>35</v>
      </c>
      <c r="F279" t="s">
        <v>14</v>
      </c>
      <c r="G279">
        <v>9993</v>
      </c>
      <c r="H279" t="str">
        <f t="shared" si="13"/>
        <v>8000 - 10,000</v>
      </c>
      <c r="I279" s="1">
        <v>44162</v>
      </c>
      <c r="J279">
        <v>0</v>
      </c>
      <c r="K279">
        <v>12</v>
      </c>
      <c r="L279" t="str">
        <f t="shared" si="14"/>
        <v>Manager</v>
      </c>
      <c r="M279" t="s">
        <v>15</v>
      </c>
      <c r="N279" t="s">
        <v>30</v>
      </c>
      <c r="O279" t="s">
        <v>23</v>
      </c>
    </row>
    <row r="280" spans="1:15" x14ac:dyDescent="0.35">
      <c r="A280">
        <v>813</v>
      </c>
      <c r="B280" t="s">
        <v>834</v>
      </c>
      <c r="C280">
        <v>65</v>
      </c>
      <c r="D280" t="str">
        <f t="shared" si="12"/>
        <v>Seniors</v>
      </c>
      <c r="E280" t="s">
        <v>13</v>
      </c>
      <c r="F280" t="s">
        <v>14</v>
      </c>
      <c r="G280">
        <v>4716</v>
      </c>
      <c r="H280" t="str">
        <f t="shared" si="13"/>
        <v>4000 - 6000</v>
      </c>
      <c r="I280" s="1">
        <v>42789</v>
      </c>
      <c r="J280">
        <v>5</v>
      </c>
      <c r="K280">
        <v>17</v>
      </c>
      <c r="L280" t="str">
        <f t="shared" si="14"/>
        <v>Manager</v>
      </c>
      <c r="M280" t="s">
        <v>15</v>
      </c>
      <c r="N280" t="s">
        <v>22</v>
      </c>
      <c r="O280" t="s">
        <v>23</v>
      </c>
    </row>
    <row r="281" spans="1:15" x14ac:dyDescent="0.35">
      <c r="A281">
        <v>814</v>
      </c>
      <c r="B281" t="s">
        <v>835</v>
      </c>
      <c r="C281">
        <v>27</v>
      </c>
      <c r="D281" t="str">
        <f t="shared" si="12"/>
        <v>Early Adults</v>
      </c>
      <c r="E281" t="s">
        <v>13</v>
      </c>
      <c r="F281" t="s">
        <v>20</v>
      </c>
      <c r="G281">
        <v>7359</v>
      </c>
      <c r="H281" t="str">
        <f t="shared" si="13"/>
        <v>6000 - 8000</v>
      </c>
      <c r="I281" s="1">
        <v>43349</v>
      </c>
      <c r="J281">
        <v>0</v>
      </c>
      <c r="K281">
        <v>7</v>
      </c>
      <c r="L281" t="str">
        <f t="shared" si="14"/>
        <v>Senior Level</v>
      </c>
      <c r="M281" t="s">
        <v>15</v>
      </c>
      <c r="N281" t="s">
        <v>16</v>
      </c>
      <c r="O281" t="s">
        <v>17</v>
      </c>
    </row>
    <row r="282" spans="1:15" x14ac:dyDescent="0.35">
      <c r="A282">
        <v>815</v>
      </c>
      <c r="B282" t="s">
        <v>836</v>
      </c>
      <c r="C282">
        <v>31</v>
      </c>
      <c r="D282" t="str">
        <f t="shared" si="12"/>
        <v>Early Adults</v>
      </c>
      <c r="E282" t="s">
        <v>13</v>
      </c>
      <c r="F282" t="s">
        <v>27</v>
      </c>
      <c r="G282">
        <v>3565</v>
      </c>
      <c r="H282" t="str">
        <f t="shared" si="13"/>
        <v>2000 - 4000</v>
      </c>
      <c r="I282" s="1">
        <v>44530</v>
      </c>
      <c r="J282">
        <v>5</v>
      </c>
      <c r="K282">
        <v>4</v>
      </c>
      <c r="L282" t="str">
        <f t="shared" si="14"/>
        <v>Mid-Level</v>
      </c>
      <c r="M282" t="s">
        <v>15</v>
      </c>
      <c r="N282" t="s">
        <v>16</v>
      </c>
      <c r="O282" t="s">
        <v>17</v>
      </c>
    </row>
    <row r="283" spans="1:15" x14ac:dyDescent="0.35">
      <c r="A283">
        <v>820</v>
      </c>
      <c r="B283" t="s">
        <v>841</v>
      </c>
      <c r="C283">
        <v>54</v>
      </c>
      <c r="D283" t="str">
        <f t="shared" si="12"/>
        <v>Mature Adults</v>
      </c>
      <c r="E283" t="s">
        <v>13</v>
      </c>
      <c r="F283" t="s">
        <v>20</v>
      </c>
      <c r="G283">
        <v>7880</v>
      </c>
      <c r="H283" t="str">
        <f t="shared" si="13"/>
        <v>6000 - 8000</v>
      </c>
      <c r="I283" s="1">
        <v>45554</v>
      </c>
      <c r="J283">
        <v>3</v>
      </c>
      <c r="K283">
        <v>6</v>
      </c>
      <c r="L283" t="str">
        <f t="shared" si="14"/>
        <v>Senior Level</v>
      </c>
      <c r="M283" t="s">
        <v>15</v>
      </c>
      <c r="N283" t="s">
        <v>16</v>
      </c>
      <c r="O283" t="s">
        <v>17</v>
      </c>
    </row>
    <row r="284" spans="1:15" x14ac:dyDescent="0.35">
      <c r="A284">
        <v>825</v>
      </c>
      <c r="B284" t="s">
        <v>846</v>
      </c>
      <c r="C284">
        <v>65</v>
      </c>
      <c r="D284" t="str">
        <f t="shared" si="12"/>
        <v>Seniors</v>
      </c>
      <c r="E284" t="s">
        <v>13</v>
      </c>
      <c r="F284" t="s">
        <v>27</v>
      </c>
      <c r="G284">
        <v>3535</v>
      </c>
      <c r="H284" t="str">
        <f t="shared" si="13"/>
        <v>2000 - 4000</v>
      </c>
      <c r="I284" s="1">
        <v>43959</v>
      </c>
      <c r="J284">
        <v>0</v>
      </c>
      <c r="K284">
        <v>19</v>
      </c>
      <c r="L284" t="str">
        <f t="shared" si="14"/>
        <v>Manager</v>
      </c>
      <c r="M284" t="s">
        <v>15</v>
      </c>
      <c r="N284" t="s">
        <v>16</v>
      </c>
      <c r="O284" t="s">
        <v>25</v>
      </c>
    </row>
    <row r="285" spans="1:15" x14ac:dyDescent="0.35">
      <c r="A285">
        <v>833</v>
      </c>
      <c r="B285" t="s">
        <v>854</v>
      </c>
      <c r="C285">
        <v>54</v>
      </c>
      <c r="D285" t="str">
        <f t="shared" si="12"/>
        <v>Mature Adults</v>
      </c>
      <c r="E285" t="s">
        <v>13</v>
      </c>
      <c r="F285" t="s">
        <v>20</v>
      </c>
      <c r="G285">
        <v>4232</v>
      </c>
      <c r="H285" t="str">
        <f t="shared" si="13"/>
        <v>4000 - 6000</v>
      </c>
      <c r="I285" s="1">
        <v>42188</v>
      </c>
      <c r="J285">
        <v>5</v>
      </c>
      <c r="K285">
        <v>3</v>
      </c>
      <c r="L285" t="str">
        <f t="shared" si="14"/>
        <v>Mid-Level</v>
      </c>
      <c r="M285" t="s">
        <v>15</v>
      </c>
      <c r="N285" t="s">
        <v>30</v>
      </c>
      <c r="O285" t="s">
        <v>25</v>
      </c>
    </row>
    <row r="286" spans="1:15" x14ac:dyDescent="0.35">
      <c r="A286">
        <v>834</v>
      </c>
      <c r="B286" t="s">
        <v>855</v>
      </c>
      <c r="C286">
        <v>63</v>
      </c>
      <c r="D286" t="str">
        <f t="shared" si="12"/>
        <v>Seniors</v>
      </c>
      <c r="E286" t="s">
        <v>35</v>
      </c>
      <c r="F286" t="s">
        <v>20</v>
      </c>
      <c r="G286">
        <v>6576</v>
      </c>
      <c r="H286" t="str">
        <f t="shared" si="13"/>
        <v>6000 - 8000</v>
      </c>
      <c r="I286" s="1">
        <v>42377</v>
      </c>
      <c r="J286">
        <v>0</v>
      </c>
      <c r="K286">
        <v>11</v>
      </c>
      <c r="L286" t="str">
        <f t="shared" si="14"/>
        <v>Consultant</v>
      </c>
      <c r="M286" t="s">
        <v>15</v>
      </c>
      <c r="N286" t="s">
        <v>22</v>
      </c>
      <c r="O286" t="s">
        <v>23</v>
      </c>
    </row>
    <row r="287" spans="1:15" x14ac:dyDescent="0.35">
      <c r="A287">
        <v>846</v>
      </c>
      <c r="B287" t="s">
        <v>867</v>
      </c>
      <c r="C287">
        <v>36</v>
      </c>
      <c r="D287" t="str">
        <f t="shared" si="12"/>
        <v>Mid Adults</v>
      </c>
      <c r="E287" t="s">
        <v>35</v>
      </c>
      <c r="F287" t="s">
        <v>14</v>
      </c>
      <c r="G287">
        <v>4316</v>
      </c>
      <c r="H287" t="str">
        <f t="shared" si="13"/>
        <v>4000 - 6000</v>
      </c>
      <c r="I287" s="1">
        <v>44243</v>
      </c>
      <c r="J287">
        <v>0</v>
      </c>
      <c r="K287">
        <v>17</v>
      </c>
      <c r="L287" t="str">
        <f t="shared" si="14"/>
        <v>Manager</v>
      </c>
      <c r="M287" t="s">
        <v>15</v>
      </c>
      <c r="N287" t="s">
        <v>30</v>
      </c>
      <c r="O287" t="s">
        <v>23</v>
      </c>
    </row>
    <row r="288" spans="1:15" x14ac:dyDescent="0.35">
      <c r="A288">
        <v>850</v>
      </c>
      <c r="B288" t="s">
        <v>871</v>
      </c>
      <c r="C288">
        <v>26</v>
      </c>
      <c r="D288" t="str">
        <f t="shared" si="12"/>
        <v>Early Adults</v>
      </c>
      <c r="E288" t="s">
        <v>35</v>
      </c>
      <c r="F288" t="s">
        <v>14</v>
      </c>
      <c r="G288">
        <v>8255</v>
      </c>
      <c r="H288" t="str">
        <f t="shared" si="13"/>
        <v>8000 - 10,000</v>
      </c>
      <c r="I288" s="1">
        <v>42967</v>
      </c>
      <c r="J288">
        <v>0</v>
      </c>
      <c r="K288">
        <v>2</v>
      </c>
      <c r="L288" t="str">
        <f t="shared" si="14"/>
        <v>Junior</v>
      </c>
      <c r="M288" t="s">
        <v>15</v>
      </c>
      <c r="N288" t="s">
        <v>16</v>
      </c>
      <c r="O288" t="s">
        <v>23</v>
      </c>
    </row>
    <row r="289" spans="1:15" x14ac:dyDescent="0.35">
      <c r="A289">
        <v>854</v>
      </c>
      <c r="B289" t="s">
        <v>875</v>
      </c>
      <c r="C289">
        <v>61</v>
      </c>
      <c r="D289" t="str">
        <f t="shared" si="12"/>
        <v>Seniors</v>
      </c>
      <c r="E289" t="s">
        <v>35</v>
      </c>
      <c r="F289" t="s">
        <v>27</v>
      </c>
      <c r="G289">
        <v>5369</v>
      </c>
      <c r="H289" t="str">
        <f t="shared" si="13"/>
        <v>4000 - 6000</v>
      </c>
      <c r="I289" s="1">
        <v>45372</v>
      </c>
      <c r="J289">
        <v>1</v>
      </c>
      <c r="K289">
        <v>7</v>
      </c>
      <c r="L289" t="str">
        <f t="shared" si="14"/>
        <v>Senior Level</v>
      </c>
      <c r="M289" t="s">
        <v>15</v>
      </c>
      <c r="N289" t="s">
        <v>22</v>
      </c>
      <c r="O289" t="s">
        <v>17</v>
      </c>
    </row>
    <row r="290" spans="1:15" x14ac:dyDescent="0.35">
      <c r="A290">
        <v>855</v>
      </c>
      <c r="B290" t="s">
        <v>876</v>
      </c>
      <c r="C290">
        <v>54</v>
      </c>
      <c r="D290" t="str">
        <f t="shared" si="12"/>
        <v>Mature Adults</v>
      </c>
      <c r="E290" t="s">
        <v>35</v>
      </c>
      <c r="F290" t="s">
        <v>20</v>
      </c>
      <c r="G290">
        <v>6897</v>
      </c>
      <c r="H290" t="str">
        <f t="shared" si="13"/>
        <v>6000 - 8000</v>
      </c>
      <c r="I290" s="1">
        <v>44198</v>
      </c>
      <c r="J290">
        <v>2</v>
      </c>
      <c r="K290">
        <v>20</v>
      </c>
      <c r="L290" t="str">
        <f t="shared" si="14"/>
        <v>Manager</v>
      </c>
      <c r="M290" t="s">
        <v>15</v>
      </c>
      <c r="N290" t="s">
        <v>22</v>
      </c>
      <c r="O290" t="s">
        <v>23</v>
      </c>
    </row>
    <row r="291" spans="1:15" x14ac:dyDescent="0.35">
      <c r="A291">
        <v>857</v>
      </c>
      <c r="B291" t="s">
        <v>878</v>
      </c>
      <c r="C291">
        <v>23</v>
      </c>
      <c r="D291" t="str">
        <f t="shared" si="12"/>
        <v>Young Adults</v>
      </c>
      <c r="E291" t="s">
        <v>35</v>
      </c>
      <c r="F291" t="s">
        <v>14</v>
      </c>
      <c r="G291">
        <v>7314</v>
      </c>
      <c r="H291" t="str">
        <f t="shared" si="13"/>
        <v>6000 - 8000</v>
      </c>
      <c r="I291" s="1">
        <v>42373</v>
      </c>
      <c r="J291">
        <v>0</v>
      </c>
      <c r="K291">
        <v>17</v>
      </c>
      <c r="L291" t="str">
        <f t="shared" si="14"/>
        <v>Manager</v>
      </c>
      <c r="M291" t="s">
        <v>15</v>
      </c>
      <c r="N291" t="s">
        <v>22</v>
      </c>
      <c r="O291" t="s">
        <v>25</v>
      </c>
    </row>
    <row r="292" spans="1:15" x14ac:dyDescent="0.35">
      <c r="A292">
        <v>858</v>
      </c>
      <c r="B292" t="s">
        <v>879</v>
      </c>
      <c r="C292">
        <v>41</v>
      </c>
      <c r="D292" t="str">
        <f t="shared" si="12"/>
        <v>Mid Adults</v>
      </c>
      <c r="E292" t="s">
        <v>35</v>
      </c>
      <c r="F292" t="s">
        <v>14</v>
      </c>
      <c r="G292">
        <v>9285</v>
      </c>
      <c r="H292" t="str">
        <f t="shared" si="13"/>
        <v>8000 - 10,000</v>
      </c>
      <c r="I292" s="1">
        <v>45027</v>
      </c>
      <c r="J292">
        <v>3</v>
      </c>
      <c r="K292">
        <v>19</v>
      </c>
      <c r="L292" t="str">
        <f t="shared" si="14"/>
        <v>Manager</v>
      </c>
      <c r="M292" t="s">
        <v>15</v>
      </c>
      <c r="N292" t="s">
        <v>16</v>
      </c>
      <c r="O292" t="s">
        <v>23</v>
      </c>
    </row>
    <row r="293" spans="1:15" x14ac:dyDescent="0.35">
      <c r="A293">
        <v>862</v>
      </c>
      <c r="B293" t="s">
        <v>883</v>
      </c>
      <c r="C293">
        <v>45</v>
      </c>
      <c r="D293" t="str">
        <f t="shared" si="12"/>
        <v>Mature Adults</v>
      </c>
      <c r="E293" t="s">
        <v>35</v>
      </c>
      <c r="F293" t="s">
        <v>14</v>
      </c>
      <c r="G293">
        <v>4808</v>
      </c>
      <c r="H293" t="str">
        <f t="shared" si="13"/>
        <v>4000 - 6000</v>
      </c>
      <c r="I293" s="1">
        <v>43812</v>
      </c>
      <c r="J293">
        <v>2</v>
      </c>
      <c r="K293">
        <v>10</v>
      </c>
      <c r="L293" t="str">
        <f t="shared" si="14"/>
        <v>Consultant</v>
      </c>
      <c r="M293" t="s">
        <v>15</v>
      </c>
      <c r="N293" t="s">
        <v>22</v>
      </c>
      <c r="O293" t="s">
        <v>23</v>
      </c>
    </row>
    <row r="294" spans="1:15" x14ac:dyDescent="0.35">
      <c r="A294">
        <v>863</v>
      </c>
      <c r="B294" t="s">
        <v>884</v>
      </c>
      <c r="C294">
        <v>28</v>
      </c>
      <c r="D294" t="str">
        <f t="shared" si="12"/>
        <v>Early Adults</v>
      </c>
      <c r="E294" t="s">
        <v>35</v>
      </c>
      <c r="F294" t="s">
        <v>14</v>
      </c>
      <c r="G294">
        <v>8191</v>
      </c>
      <c r="H294" t="str">
        <f t="shared" si="13"/>
        <v>8000 - 10,000</v>
      </c>
      <c r="I294" s="1">
        <v>44602</v>
      </c>
      <c r="J294">
        <v>0</v>
      </c>
      <c r="K294">
        <v>2</v>
      </c>
      <c r="L294" t="str">
        <f t="shared" si="14"/>
        <v>Junior</v>
      </c>
      <c r="M294" t="s">
        <v>15</v>
      </c>
      <c r="N294" t="s">
        <v>16</v>
      </c>
      <c r="O294" t="s">
        <v>25</v>
      </c>
    </row>
    <row r="295" spans="1:15" x14ac:dyDescent="0.35">
      <c r="A295">
        <v>865</v>
      </c>
      <c r="B295" t="s">
        <v>886</v>
      </c>
      <c r="C295">
        <v>47</v>
      </c>
      <c r="D295" t="str">
        <f t="shared" si="12"/>
        <v>Mature Adults</v>
      </c>
      <c r="E295" t="s">
        <v>35</v>
      </c>
      <c r="F295" t="s">
        <v>20</v>
      </c>
      <c r="G295">
        <v>8619</v>
      </c>
      <c r="H295" t="str">
        <f t="shared" si="13"/>
        <v>8000 - 10,000</v>
      </c>
      <c r="I295" s="1">
        <v>45527</v>
      </c>
      <c r="J295">
        <v>2</v>
      </c>
      <c r="K295">
        <v>13</v>
      </c>
      <c r="L295" t="str">
        <f t="shared" si="14"/>
        <v>Manager</v>
      </c>
      <c r="M295" t="s">
        <v>15</v>
      </c>
      <c r="N295" t="s">
        <v>22</v>
      </c>
      <c r="O295" t="s">
        <v>17</v>
      </c>
    </row>
    <row r="296" spans="1:15" x14ac:dyDescent="0.35">
      <c r="A296">
        <v>867</v>
      </c>
      <c r="B296" t="s">
        <v>888</v>
      </c>
      <c r="C296">
        <v>22</v>
      </c>
      <c r="D296" t="str">
        <f t="shared" si="12"/>
        <v>Young Adults</v>
      </c>
      <c r="E296" t="s">
        <v>35</v>
      </c>
      <c r="F296" t="s">
        <v>20</v>
      </c>
      <c r="G296">
        <v>5700</v>
      </c>
      <c r="H296" t="str">
        <f t="shared" si="13"/>
        <v>4000 - 6000</v>
      </c>
      <c r="I296" s="1">
        <v>44454</v>
      </c>
      <c r="J296">
        <v>5</v>
      </c>
      <c r="K296">
        <v>16</v>
      </c>
      <c r="L296" t="str">
        <f t="shared" si="14"/>
        <v>Manager</v>
      </c>
      <c r="M296" t="s">
        <v>15</v>
      </c>
      <c r="N296" t="s">
        <v>30</v>
      </c>
      <c r="O296" t="s">
        <v>17</v>
      </c>
    </row>
    <row r="297" spans="1:15" x14ac:dyDescent="0.35">
      <c r="A297">
        <v>868</v>
      </c>
      <c r="B297" t="s">
        <v>889</v>
      </c>
      <c r="C297">
        <v>55</v>
      </c>
      <c r="D297" t="str">
        <f t="shared" si="12"/>
        <v>Seniors</v>
      </c>
      <c r="E297" t="s">
        <v>13</v>
      </c>
      <c r="F297" t="s">
        <v>20</v>
      </c>
      <c r="G297">
        <v>3695</v>
      </c>
      <c r="H297" t="str">
        <f t="shared" si="13"/>
        <v>2000 - 4000</v>
      </c>
      <c r="I297" s="1">
        <v>42529</v>
      </c>
      <c r="J297">
        <v>1</v>
      </c>
      <c r="K297">
        <v>6</v>
      </c>
      <c r="L297" t="str">
        <f t="shared" si="14"/>
        <v>Senior Level</v>
      </c>
      <c r="M297" t="s">
        <v>15</v>
      </c>
      <c r="N297" t="s">
        <v>30</v>
      </c>
      <c r="O297" t="s">
        <v>17</v>
      </c>
    </row>
    <row r="298" spans="1:15" x14ac:dyDescent="0.35">
      <c r="A298">
        <v>872</v>
      </c>
      <c r="B298" t="s">
        <v>893</v>
      </c>
      <c r="C298">
        <v>41</v>
      </c>
      <c r="D298" t="str">
        <f t="shared" si="12"/>
        <v>Mid Adults</v>
      </c>
      <c r="E298" t="s">
        <v>35</v>
      </c>
      <c r="F298" t="s">
        <v>20</v>
      </c>
      <c r="G298">
        <v>7556</v>
      </c>
      <c r="H298" t="str">
        <f t="shared" si="13"/>
        <v>6000 - 8000</v>
      </c>
      <c r="I298" s="1">
        <v>44960</v>
      </c>
      <c r="J298">
        <v>0</v>
      </c>
      <c r="K298">
        <v>16</v>
      </c>
      <c r="L298" t="str">
        <f t="shared" si="14"/>
        <v>Manager</v>
      </c>
      <c r="M298" t="s">
        <v>15</v>
      </c>
      <c r="N298" t="s">
        <v>16</v>
      </c>
      <c r="O298" t="s">
        <v>23</v>
      </c>
    </row>
    <row r="299" spans="1:15" x14ac:dyDescent="0.35">
      <c r="A299">
        <v>880</v>
      </c>
      <c r="B299" t="s">
        <v>900</v>
      </c>
      <c r="C299">
        <v>54</v>
      </c>
      <c r="D299" t="str">
        <f t="shared" si="12"/>
        <v>Mature Adults</v>
      </c>
      <c r="E299" t="s">
        <v>35</v>
      </c>
      <c r="F299" t="s">
        <v>27</v>
      </c>
      <c r="G299">
        <v>6185</v>
      </c>
      <c r="H299" t="str">
        <f t="shared" si="13"/>
        <v>6000 - 8000</v>
      </c>
      <c r="I299" s="1">
        <v>42672</v>
      </c>
      <c r="J299">
        <v>0</v>
      </c>
      <c r="K299">
        <v>1</v>
      </c>
      <c r="L299" t="str">
        <f t="shared" si="14"/>
        <v>Junior</v>
      </c>
      <c r="M299" t="s">
        <v>15</v>
      </c>
      <c r="N299" t="s">
        <v>16</v>
      </c>
      <c r="O299" t="s">
        <v>23</v>
      </c>
    </row>
    <row r="300" spans="1:15" x14ac:dyDescent="0.35">
      <c r="A300">
        <v>881</v>
      </c>
      <c r="B300" t="s">
        <v>901</v>
      </c>
      <c r="C300">
        <v>53</v>
      </c>
      <c r="D300" t="str">
        <f t="shared" si="12"/>
        <v>Mature Adults</v>
      </c>
      <c r="E300" t="s">
        <v>35</v>
      </c>
      <c r="F300" t="s">
        <v>14</v>
      </c>
      <c r="G300">
        <v>8758</v>
      </c>
      <c r="H300" t="str">
        <f t="shared" si="13"/>
        <v>8000 - 10,000</v>
      </c>
      <c r="I300" s="1">
        <v>45121</v>
      </c>
      <c r="J300">
        <v>0</v>
      </c>
      <c r="K300">
        <v>5</v>
      </c>
      <c r="L300" t="str">
        <f t="shared" si="14"/>
        <v>Senior Level</v>
      </c>
      <c r="M300" t="s">
        <v>15</v>
      </c>
      <c r="N300" t="s">
        <v>30</v>
      </c>
      <c r="O300" t="s">
        <v>25</v>
      </c>
    </row>
    <row r="301" spans="1:15" x14ac:dyDescent="0.35">
      <c r="A301">
        <v>883</v>
      </c>
      <c r="B301" t="s">
        <v>903</v>
      </c>
      <c r="C301">
        <v>47</v>
      </c>
      <c r="D301" t="str">
        <f t="shared" si="12"/>
        <v>Mature Adults</v>
      </c>
      <c r="E301" t="s">
        <v>35</v>
      </c>
      <c r="F301" t="s">
        <v>27</v>
      </c>
      <c r="G301">
        <v>2029</v>
      </c>
      <c r="H301" t="str">
        <f t="shared" si="13"/>
        <v>2000 - 4000</v>
      </c>
      <c r="I301" s="1">
        <v>43804</v>
      </c>
      <c r="J301">
        <v>0</v>
      </c>
      <c r="K301">
        <v>17</v>
      </c>
      <c r="L301" t="str">
        <f t="shared" si="14"/>
        <v>Manager</v>
      </c>
      <c r="M301" t="s">
        <v>15</v>
      </c>
      <c r="N301" t="s">
        <v>22</v>
      </c>
      <c r="O301" t="s">
        <v>25</v>
      </c>
    </row>
    <row r="302" spans="1:15" x14ac:dyDescent="0.35">
      <c r="A302">
        <v>884</v>
      </c>
      <c r="B302" t="s">
        <v>904</v>
      </c>
      <c r="C302">
        <v>51</v>
      </c>
      <c r="D302" t="str">
        <f t="shared" si="12"/>
        <v>Mature Adults</v>
      </c>
      <c r="E302" t="s">
        <v>35</v>
      </c>
      <c r="F302" t="s">
        <v>14</v>
      </c>
      <c r="G302">
        <v>7315</v>
      </c>
      <c r="H302" t="str">
        <f t="shared" si="13"/>
        <v>6000 - 8000</v>
      </c>
      <c r="I302" s="1">
        <v>45567</v>
      </c>
      <c r="J302">
        <v>0</v>
      </c>
      <c r="K302">
        <v>8</v>
      </c>
      <c r="L302" t="str">
        <f t="shared" si="14"/>
        <v>Consultant</v>
      </c>
      <c r="M302" t="s">
        <v>15</v>
      </c>
      <c r="N302" t="s">
        <v>30</v>
      </c>
      <c r="O302" t="s">
        <v>23</v>
      </c>
    </row>
    <row r="303" spans="1:15" x14ac:dyDescent="0.35">
      <c r="A303">
        <v>885</v>
      </c>
      <c r="B303" t="s">
        <v>905</v>
      </c>
      <c r="C303">
        <v>65</v>
      </c>
      <c r="D303" t="str">
        <f t="shared" si="12"/>
        <v>Seniors</v>
      </c>
      <c r="E303" t="s">
        <v>35</v>
      </c>
      <c r="F303" t="s">
        <v>20</v>
      </c>
      <c r="G303">
        <v>8456</v>
      </c>
      <c r="H303" t="str">
        <f t="shared" si="13"/>
        <v>8000 - 10,000</v>
      </c>
      <c r="I303" s="1">
        <v>42455</v>
      </c>
      <c r="J303">
        <v>3</v>
      </c>
      <c r="K303">
        <v>14</v>
      </c>
      <c r="L303" t="str">
        <f t="shared" si="14"/>
        <v>Manager</v>
      </c>
      <c r="M303" t="s">
        <v>15</v>
      </c>
      <c r="N303" t="s">
        <v>16</v>
      </c>
      <c r="O303" t="s">
        <v>23</v>
      </c>
    </row>
    <row r="304" spans="1:15" x14ac:dyDescent="0.35">
      <c r="A304">
        <v>887</v>
      </c>
      <c r="B304" t="s">
        <v>907</v>
      </c>
      <c r="C304">
        <v>43</v>
      </c>
      <c r="D304" t="str">
        <f t="shared" si="12"/>
        <v>Mid Adults</v>
      </c>
      <c r="E304" t="s">
        <v>13</v>
      </c>
      <c r="F304" t="s">
        <v>27</v>
      </c>
      <c r="G304">
        <v>8772</v>
      </c>
      <c r="H304" t="str">
        <f t="shared" si="13"/>
        <v>8000 - 10,000</v>
      </c>
      <c r="I304" s="1">
        <v>44482</v>
      </c>
      <c r="J304">
        <v>0</v>
      </c>
      <c r="K304">
        <v>6</v>
      </c>
      <c r="L304" t="str">
        <f t="shared" si="14"/>
        <v>Senior Level</v>
      </c>
      <c r="M304" t="s">
        <v>15</v>
      </c>
      <c r="N304" t="s">
        <v>16</v>
      </c>
      <c r="O304" t="s">
        <v>25</v>
      </c>
    </row>
    <row r="305" spans="1:15" x14ac:dyDescent="0.35">
      <c r="A305">
        <v>890</v>
      </c>
      <c r="B305" t="s">
        <v>910</v>
      </c>
      <c r="C305">
        <v>48</v>
      </c>
      <c r="D305" t="str">
        <f t="shared" si="12"/>
        <v>Mature Adults</v>
      </c>
      <c r="E305" t="s">
        <v>13</v>
      </c>
      <c r="F305" t="s">
        <v>27</v>
      </c>
      <c r="G305">
        <v>6114</v>
      </c>
      <c r="H305" t="str">
        <f t="shared" si="13"/>
        <v>6000 - 8000</v>
      </c>
      <c r="I305" s="1">
        <v>44412</v>
      </c>
      <c r="J305">
        <v>1</v>
      </c>
      <c r="K305">
        <v>1</v>
      </c>
      <c r="L305" t="str">
        <f t="shared" si="14"/>
        <v>Junior</v>
      </c>
      <c r="M305" t="s">
        <v>15</v>
      </c>
      <c r="N305" t="s">
        <v>30</v>
      </c>
      <c r="O305" t="s">
        <v>17</v>
      </c>
    </row>
    <row r="306" spans="1:15" x14ac:dyDescent="0.35">
      <c r="A306">
        <v>893</v>
      </c>
      <c r="B306" t="s">
        <v>913</v>
      </c>
      <c r="C306">
        <v>31</v>
      </c>
      <c r="D306" t="str">
        <f t="shared" si="12"/>
        <v>Early Adults</v>
      </c>
      <c r="E306" t="s">
        <v>35</v>
      </c>
      <c r="F306" t="s">
        <v>14</v>
      </c>
      <c r="G306">
        <v>4345</v>
      </c>
      <c r="H306" t="str">
        <f t="shared" si="13"/>
        <v>4000 - 6000</v>
      </c>
      <c r="I306" s="1">
        <v>45415</v>
      </c>
      <c r="J306">
        <v>5</v>
      </c>
      <c r="K306">
        <v>12</v>
      </c>
      <c r="L306" t="str">
        <f t="shared" si="14"/>
        <v>Manager</v>
      </c>
      <c r="M306" t="s">
        <v>15</v>
      </c>
      <c r="N306" t="s">
        <v>22</v>
      </c>
      <c r="O306" t="s">
        <v>17</v>
      </c>
    </row>
    <row r="307" spans="1:15" x14ac:dyDescent="0.35">
      <c r="A307">
        <v>895</v>
      </c>
      <c r="B307" t="s">
        <v>915</v>
      </c>
      <c r="C307">
        <v>19</v>
      </c>
      <c r="D307" t="str">
        <f t="shared" si="12"/>
        <v>Young Adults</v>
      </c>
      <c r="E307" t="s">
        <v>35</v>
      </c>
      <c r="F307" t="s">
        <v>27</v>
      </c>
      <c r="G307">
        <v>8059</v>
      </c>
      <c r="H307" t="str">
        <f t="shared" si="13"/>
        <v>8000 - 10,000</v>
      </c>
      <c r="I307" s="1">
        <v>42940</v>
      </c>
      <c r="J307">
        <v>4</v>
      </c>
      <c r="K307">
        <v>3</v>
      </c>
      <c r="L307" t="str">
        <f t="shared" si="14"/>
        <v>Mid-Level</v>
      </c>
      <c r="M307" t="s">
        <v>15</v>
      </c>
      <c r="N307" t="s">
        <v>22</v>
      </c>
      <c r="O307" t="s">
        <v>17</v>
      </c>
    </row>
    <row r="308" spans="1:15" x14ac:dyDescent="0.35">
      <c r="A308">
        <v>896</v>
      </c>
      <c r="B308" t="s">
        <v>916</v>
      </c>
      <c r="C308">
        <v>56</v>
      </c>
      <c r="D308" t="str">
        <f t="shared" si="12"/>
        <v>Seniors</v>
      </c>
      <c r="E308" t="s">
        <v>13</v>
      </c>
      <c r="F308" t="s">
        <v>14</v>
      </c>
      <c r="G308">
        <v>3168</v>
      </c>
      <c r="H308" t="str">
        <f t="shared" si="13"/>
        <v>2000 - 4000</v>
      </c>
      <c r="I308" s="1">
        <v>42462</v>
      </c>
      <c r="J308">
        <v>1</v>
      </c>
      <c r="K308">
        <v>6</v>
      </c>
      <c r="L308" t="str">
        <f t="shared" si="14"/>
        <v>Senior Level</v>
      </c>
      <c r="M308" t="s">
        <v>15</v>
      </c>
      <c r="N308" t="s">
        <v>16</v>
      </c>
      <c r="O308" t="s">
        <v>25</v>
      </c>
    </row>
    <row r="309" spans="1:15" x14ac:dyDescent="0.35">
      <c r="A309">
        <v>898</v>
      </c>
      <c r="B309" t="s">
        <v>918</v>
      </c>
      <c r="C309">
        <v>56</v>
      </c>
      <c r="D309" t="str">
        <f t="shared" si="12"/>
        <v>Seniors</v>
      </c>
      <c r="E309" t="s">
        <v>13</v>
      </c>
      <c r="F309" t="s">
        <v>20</v>
      </c>
      <c r="G309">
        <v>4269</v>
      </c>
      <c r="H309" t="str">
        <f t="shared" si="13"/>
        <v>4000 - 6000</v>
      </c>
      <c r="I309" s="1">
        <v>43997</v>
      </c>
      <c r="J309">
        <v>0</v>
      </c>
      <c r="K309">
        <v>13</v>
      </c>
      <c r="L309" t="str">
        <f t="shared" si="14"/>
        <v>Manager</v>
      </c>
      <c r="M309" t="s">
        <v>15</v>
      </c>
      <c r="N309" t="s">
        <v>22</v>
      </c>
      <c r="O309" t="s">
        <v>25</v>
      </c>
    </row>
    <row r="310" spans="1:15" x14ac:dyDescent="0.35">
      <c r="A310">
        <v>899</v>
      </c>
      <c r="B310" t="s">
        <v>919</v>
      </c>
      <c r="C310">
        <v>44</v>
      </c>
      <c r="D310" t="str">
        <f t="shared" si="12"/>
        <v>Mid Adults</v>
      </c>
      <c r="E310" t="s">
        <v>35</v>
      </c>
      <c r="F310" t="s">
        <v>20</v>
      </c>
      <c r="G310">
        <v>9819</v>
      </c>
      <c r="H310" t="str">
        <f t="shared" si="13"/>
        <v>8000 - 10,000</v>
      </c>
      <c r="I310" s="1">
        <v>44757</v>
      </c>
      <c r="J310">
        <v>0</v>
      </c>
      <c r="K310">
        <v>13</v>
      </c>
      <c r="L310" t="str">
        <f t="shared" si="14"/>
        <v>Manager</v>
      </c>
      <c r="M310" t="s">
        <v>15</v>
      </c>
      <c r="N310" t="s">
        <v>16</v>
      </c>
      <c r="O310" t="s">
        <v>25</v>
      </c>
    </row>
    <row r="311" spans="1:15" x14ac:dyDescent="0.35">
      <c r="A311">
        <v>901</v>
      </c>
      <c r="B311" t="s">
        <v>921</v>
      </c>
      <c r="C311">
        <v>29</v>
      </c>
      <c r="D311" t="str">
        <f t="shared" si="12"/>
        <v>Early Adults</v>
      </c>
      <c r="E311" t="s">
        <v>35</v>
      </c>
      <c r="F311" t="s">
        <v>14</v>
      </c>
      <c r="G311">
        <v>7568</v>
      </c>
      <c r="H311" t="str">
        <f t="shared" si="13"/>
        <v>6000 - 8000</v>
      </c>
      <c r="I311" s="1">
        <v>45304</v>
      </c>
      <c r="J311">
        <v>5</v>
      </c>
      <c r="K311">
        <v>17</v>
      </c>
      <c r="L311" t="str">
        <f t="shared" si="14"/>
        <v>Manager</v>
      </c>
      <c r="M311" t="s">
        <v>15</v>
      </c>
      <c r="N311" t="s">
        <v>22</v>
      </c>
      <c r="O311" t="s">
        <v>23</v>
      </c>
    </row>
    <row r="312" spans="1:15" x14ac:dyDescent="0.35">
      <c r="A312">
        <v>903</v>
      </c>
      <c r="B312" t="s">
        <v>923</v>
      </c>
      <c r="C312">
        <v>39</v>
      </c>
      <c r="D312" t="str">
        <f t="shared" si="12"/>
        <v>Mid Adults</v>
      </c>
      <c r="E312" t="s">
        <v>13</v>
      </c>
      <c r="F312" t="s">
        <v>14</v>
      </c>
      <c r="G312">
        <v>6644</v>
      </c>
      <c r="H312" t="str">
        <f t="shared" si="13"/>
        <v>6000 - 8000</v>
      </c>
      <c r="I312" s="1">
        <v>43103</v>
      </c>
      <c r="J312">
        <v>0</v>
      </c>
      <c r="K312">
        <v>7</v>
      </c>
      <c r="L312" t="str">
        <f t="shared" si="14"/>
        <v>Senior Level</v>
      </c>
      <c r="M312" t="s">
        <v>15</v>
      </c>
      <c r="N312" t="s">
        <v>30</v>
      </c>
      <c r="O312" t="s">
        <v>23</v>
      </c>
    </row>
    <row r="313" spans="1:15" x14ac:dyDescent="0.35">
      <c r="A313">
        <v>911</v>
      </c>
      <c r="B313" t="s">
        <v>930</v>
      </c>
      <c r="C313">
        <v>49</v>
      </c>
      <c r="D313" t="str">
        <f t="shared" si="12"/>
        <v>Mature Adults</v>
      </c>
      <c r="E313" t="s">
        <v>13</v>
      </c>
      <c r="F313" t="s">
        <v>27</v>
      </c>
      <c r="G313">
        <v>6502</v>
      </c>
      <c r="H313" t="str">
        <f t="shared" si="13"/>
        <v>6000 - 8000</v>
      </c>
      <c r="I313" s="1">
        <v>44709</v>
      </c>
      <c r="J313">
        <v>3</v>
      </c>
      <c r="K313">
        <v>1</v>
      </c>
      <c r="L313" t="str">
        <f t="shared" si="14"/>
        <v>Junior</v>
      </c>
      <c r="M313" t="s">
        <v>15</v>
      </c>
      <c r="N313" t="s">
        <v>22</v>
      </c>
      <c r="O313" t="s">
        <v>23</v>
      </c>
    </row>
    <row r="314" spans="1:15" x14ac:dyDescent="0.35">
      <c r="A314">
        <v>913</v>
      </c>
      <c r="B314" t="s">
        <v>932</v>
      </c>
      <c r="C314">
        <v>59</v>
      </c>
      <c r="D314" t="str">
        <f t="shared" si="12"/>
        <v>Seniors</v>
      </c>
      <c r="E314" t="s">
        <v>13</v>
      </c>
      <c r="F314" t="s">
        <v>20</v>
      </c>
      <c r="G314">
        <v>4875</v>
      </c>
      <c r="H314" t="str">
        <f t="shared" si="13"/>
        <v>4000 - 6000</v>
      </c>
      <c r="I314" s="1">
        <v>42022</v>
      </c>
      <c r="J314">
        <v>0</v>
      </c>
      <c r="K314">
        <v>6</v>
      </c>
      <c r="L314" t="str">
        <f t="shared" si="14"/>
        <v>Senior Level</v>
      </c>
      <c r="M314" t="s">
        <v>15</v>
      </c>
      <c r="N314" t="s">
        <v>22</v>
      </c>
      <c r="O314" t="s">
        <v>23</v>
      </c>
    </row>
    <row r="315" spans="1:15" x14ac:dyDescent="0.35">
      <c r="A315">
        <v>916</v>
      </c>
      <c r="B315" t="s">
        <v>935</v>
      </c>
      <c r="C315">
        <v>21</v>
      </c>
      <c r="D315" t="str">
        <f t="shared" si="12"/>
        <v>Young Adults</v>
      </c>
      <c r="E315" t="s">
        <v>13</v>
      </c>
      <c r="F315" t="s">
        <v>14</v>
      </c>
      <c r="G315">
        <v>6900</v>
      </c>
      <c r="H315" t="str">
        <f t="shared" si="13"/>
        <v>6000 - 8000</v>
      </c>
      <c r="I315" s="1">
        <v>42634</v>
      </c>
      <c r="J315">
        <v>0</v>
      </c>
      <c r="K315">
        <v>10</v>
      </c>
      <c r="L315" t="str">
        <f t="shared" si="14"/>
        <v>Consultant</v>
      </c>
      <c r="M315" t="s">
        <v>15</v>
      </c>
      <c r="N315" t="s">
        <v>30</v>
      </c>
      <c r="O315" t="s">
        <v>25</v>
      </c>
    </row>
    <row r="316" spans="1:15" x14ac:dyDescent="0.35">
      <c r="A316">
        <v>917</v>
      </c>
      <c r="B316" t="s">
        <v>936</v>
      </c>
      <c r="C316">
        <v>50</v>
      </c>
      <c r="D316" t="str">
        <f t="shared" si="12"/>
        <v>Mature Adults</v>
      </c>
      <c r="E316" t="s">
        <v>35</v>
      </c>
      <c r="F316" t="s">
        <v>27</v>
      </c>
      <c r="G316">
        <v>6907</v>
      </c>
      <c r="H316" t="str">
        <f t="shared" si="13"/>
        <v>6000 - 8000</v>
      </c>
      <c r="I316" s="1">
        <v>45300</v>
      </c>
      <c r="J316">
        <v>1</v>
      </c>
      <c r="K316">
        <v>4</v>
      </c>
      <c r="L316" t="str">
        <f t="shared" si="14"/>
        <v>Mid-Level</v>
      </c>
      <c r="M316" t="s">
        <v>15</v>
      </c>
      <c r="N316" t="s">
        <v>22</v>
      </c>
      <c r="O316" t="s">
        <v>17</v>
      </c>
    </row>
    <row r="317" spans="1:15" x14ac:dyDescent="0.35">
      <c r="A317">
        <v>923</v>
      </c>
      <c r="B317" t="s">
        <v>942</v>
      </c>
      <c r="C317">
        <v>39</v>
      </c>
      <c r="D317" t="str">
        <f t="shared" si="12"/>
        <v>Mid Adults</v>
      </c>
      <c r="E317" t="s">
        <v>35</v>
      </c>
      <c r="F317" t="s">
        <v>14</v>
      </c>
      <c r="G317">
        <v>9553</v>
      </c>
      <c r="H317" t="str">
        <f t="shared" si="13"/>
        <v>8000 - 10,000</v>
      </c>
      <c r="I317" s="1">
        <v>43250</v>
      </c>
      <c r="J317">
        <v>0</v>
      </c>
      <c r="K317">
        <v>15</v>
      </c>
      <c r="L317" t="str">
        <f t="shared" si="14"/>
        <v>Manager</v>
      </c>
      <c r="M317" t="s">
        <v>15</v>
      </c>
      <c r="N317" t="s">
        <v>22</v>
      </c>
      <c r="O317" t="s">
        <v>25</v>
      </c>
    </row>
    <row r="318" spans="1:15" x14ac:dyDescent="0.35">
      <c r="A318">
        <v>925</v>
      </c>
      <c r="B318" t="s">
        <v>944</v>
      </c>
      <c r="C318">
        <v>38</v>
      </c>
      <c r="D318" t="str">
        <f t="shared" si="12"/>
        <v>Mid Adults</v>
      </c>
      <c r="E318" t="s">
        <v>35</v>
      </c>
      <c r="F318" t="s">
        <v>20</v>
      </c>
      <c r="G318">
        <v>6578</v>
      </c>
      <c r="H318" t="str">
        <f t="shared" si="13"/>
        <v>6000 - 8000</v>
      </c>
      <c r="I318" s="1">
        <v>45182</v>
      </c>
      <c r="J318">
        <v>0</v>
      </c>
      <c r="K318">
        <v>1</v>
      </c>
      <c r="L318" t="str">
        <f t="shared" si="14"/>
        <v>Junior</v>
      </c>
      <c r="M318" t="s">
        <v>15</v>
      </c>
      <c r="N318" t="s">
        <v>30</v>
      </c>
      <c r="O318" t="s">
        <v>25</v>
      </c>
    </row>
    <row r="319" spans="1:15" x14ac:dyDescent="0.35">
      <c r="A319">
        <v>929</v>
      </c>
      <c r="B319" t="s">
        <v>948</v>
      </c>
      <c r="C319">
        <v>62</v>
      </c>
      <c r="D319" t="str">
        <f t="shared" si="12"/>
        <v>Seniors</v>
      </c>
      <c r="E319" t="s">
        <v>13</v>
      </c>
      <c r="F319" t="s">
        <v>27</v>
      </c>
      <c r="G319">
        <v>4876</v>
      </c>
      <c r="H319" t="str">
        <f t="shared" si="13"/>
        <v>4000 - 6000</v>
      </c>
      <c r="I319" s="1">
        <v>43810</v>
      </c>
      <c r="J319">
        <v>0</v>
      </c>
      <c r="K319">
        <v>18</v>
      </c>
      <c r="L319" t="str">
        <f t="shared" si="14"/>
        <v>Manager</v>
      </c>
      <c r="M319" t="s">
        <v>15</v>
      </c>
      <c r="N319" t="s">
        <v>30</v>
      </c>
      <c r="O319" t="s">
        <v>17</v>
      </c>
    </row>
    <row r="320" spans="1:15" x14ac:dyDescent="0.35">
      <c r="A320">
        <v>932</v>
      </c>
      <c r="B320" t="s">
        <v>951</v>
      </c>
      <c r="C320">
        <v>20</v>
      </c>
      <c r="D320" t="str">
        <f t="shared" si="12"/>
        <v>Young Adults</v>
      </c>
      <c r="E320" t="s">
        <v>35</v>
      </c>
      <c r="F320" t="s">
        <v>20</v>
      </c>
      <c r="G320">
        <v>2850</v>
      </c>
      <c r="H320" t="str">
        <f t="shared" si="13"/>
        <v>2000 - 4000</v>
      </c>
      <c r="I320" s="1">
        <v>43032</v>
      </c>
      <c r="J320">
        <v>2</v>
      </c>
      <c r="K320">
        <v>18</v>
      </c>
      <c r="L320" t="str">
        <f t="shared" si="14"/>
        <v>Manager</v>
      </c>
      <c r="M320" t="s">
        <v>15</v>
      </c>
      <c r="N320" t="s">
        <v>16</v>
      </c>
      <c r="O320" t="s">
        <v>17</v>
      </c>
    </row>
    <row r="321" spans="1:15" x14ac:dyDescent="0.35">
      <c r="A321">
        <v>934</v>
      </c>
      <c r="B321" t="s">
        <v>953</v>
      </c>
      <c r="C321">
        <v>37</v>
      </c>
      <c r="D321" t="str">
        <f t="shared" si="12"/>
        <v>Mid Adults</v>
      </c>
      <c r="E321" t="s">
        <v>35</v>
      </c>
      <c r="F321" t="s">
        <v>27</v>
      </c>
      <c r="G321">
        <v>3364</v>
      </c>
      <c r="H321" t="str">
        <f t="shared" si="13"/>
        <v>2000 - 4000</v>
      </c>
      <c r="I321" s="1">
        <v>42348</v>
      </c>
      <c r="J321">
        <v>2</v>
      </c>
      <c r="K321">
        <v>8</v>
      </c>
      <c r="L321" t="str">
        <f t="shared" si="14"/>
        <v>Consultant</v>
      </c>
      <c r="M321" t="s">
        <v>15</v>
      </c>
      <c r="N321" t="s">
        <v>22</v>
      </c>
      <c r="O321" t="s">
        <v>23</v>
      </c>
    </row>
    <row r="322" spans="1:15" x14ac:dyDescent="0.35">
      <c r="A322">
        <v>935</v>
      </c>
      <c r="B322" t="s">
        <v>954</v>
      </c>
      <c r="C322">
        <v>30</v>
      </c>
      <c r="D322" t="str">
        <f t="shared" si="12"/>
        <v>Early Adults</v>
      </c>
      <c r="E322" t="s">
        <v>35</v>
      </c>
      <c r="F322" t="s">
        <v>27</v>
      </c>
      <c r="G322">
        <v>2735</v>
      </c>
      <c r="H322" t="str">
        <f t="shared" si="13"/>
        <v>2000 - 4000</v>
      </c>
      <c r="I322" s="1">
        <v>42319</v>
      </c>
      <c r="J322">
        <v>0</v>
      </c>
      <c r="K322">
        <v>16</v>
      </c>
      <c r="L322" t="str">
        <f t="shared" si="14"/>
        <v>Manager</v>
      </c>
      <c r="M322" t="s">
        <v>15</v>
      </c>
      <c r="N322" t="s">
        <v>16</v>
      </c>
      <c r="O322" t="s">
        <v>23</v>
      </c>
    </row>
    <row r="323" spans="1:15" x14ac:dyDescent="0.35">
      <c r="A323">
        <v>936</v>
      </c>
      <c r="B323" t="s">
        <v>955</v>
      </c>
      <c r="C323">
        <v>62</v>
      </c>
      <c r="D323" t="str">
        <f t="shared" ref="D323:D346" si="15">IF(C:C&gt;=55,"Seniors",IF(C:C&gt;=45,"Mature Adults",IF(C:C&gt;=35,"Mid Adults",IF(C:C&gt;=25,"Early Adults",IF(C:C&gt;=18,"Young Adults")))))</f>
        <v>Seniors</v>
      </c>
      <c r="E323" t="s">
        <v>13</v>
      </c>
      <c r="F323" t="s">
        <v>20</v>
      </c>
      <c r="G323">
        <v>4369</v>
      </c>
      <c r="H323" t="str">
        <f t="shared" ref="H323:H346" si="16">IF(G:G&gt;=8000,"8000 - 10,000",IF(G:G&gt;=6000,"6000 - 8000",IF(G:G&gt;=4000,"4000 - 6000",IF(G:G&gt;=2000,"2000 - 4000"))))</f>
        <v>4000 - 6000</v>
      </c>
      <c r="I323" s="1">
        <v>45630</v>
      </c>
      <c r="J323">
        <v>0</v>
      </c>
      <c r="K323">
        <v>17</v>
      </c>
      <c r="L323" t="str">
        <f t="shared" ref="L323:L346" si="17">IF(K:K&gt;=12,"Manager",IF(K:K&gt;=8,"Consultant",IF(K:K&gt;=5,"Senior Level",IF(K:K&gt;=3,"Mid-Level",IF(K:K&gt;=1,"Junior")))))</f>
        <v>Manager</v>
      </c>
      <c r="M323" t="s">
        <v>15</v>
      </c>
      <c r="N323" t="s">
        <v>30</v>
      </c>
      <c r="O323" t="s">
        <v>25</v>
      </c>
    </row>
    <row r="324" spans="1:15" x14ac:dyDescent="0.35">
      <c r="A324">
        <v>940</v>
      </c>
      <c r="B324" t="s">
        <v>959</v>
      </c>
      <c r="C324">
        <v>57</v>
      </c>
      <c r="D324" t="str">
        <f t="shared" si="15"/>
        <v>Seniors</v>
      </c>
      <c r="E324" t="s">
        <v>13</v>
      </c>
      <c r="F324" t="s">
        <v>14</v>
      </c>
      <c r="G324">
        <v>8927</v>
      </c>
      <c r="H324" t="str">
        <f t="shared" si="16"/>
        <v>8000 - 10,000</v>
      </c>
      <c r="I324" s="1">
        <v>45495</v>
      </c>
      <c r="J324">
        <v>0</v>
      </c>
      <c r="K324">
        <v>17</v>
      </c>
      <c r="L324" t="str">
        <f t="shared" si="17"/>
        <v>Manager</v>
      </c>
      <c r="M324" t="s">
        <v>15</v>
      </c>
      <c r="N324" t="s">
        <v>30</v>
      </c>
      <c r="O324" t="s">
        <v>17</v>
      </c>
    </row>
    <row r="325" spans="1:15" x14ac:dyDescent="0.35">
      <c r="A325">
        <v>941</v>
      </c>
      <c r="B325" t="s">
        <v>960</v>
      </c>
      <c r="C325">
        <v>49</v>
      </c>
      <c r="D325" t="str">
        <f t="shared" si="15"/>
        <v>Mature Adults</v>
      </c>
      <c r="E325" t="s">
        <v>35</v>
      </c>
      <c r="F325" t="s">
        <v>27</v>
      </c>
      <c r="G325">
        <v>7068</v>
      </c>
      <c r="H325" t="str">
        <f t="shared" si="16"/>
        <v>6000 - 8000</v>
      </c>
      <c r="I325" s="1">
        <v>43607</v>
      </c>
      <c r="J325">
        <v>0</v>
      </c>
      <c r="K325">
        <v>11</v>
      </c>
      <c r="L325" t="str">
        <f t="shared" si="17"/>
        <v>Consultant</v>
      </c>
      <c r="M325" t="s">
        <v>15</v>
      </c>
      <c r="N325" t="s">
        <v>30</v>
      </c>
      <c r="O325" t="s">
        <v>25</v>
      </c>
    </row>
    <row r="326" spans="1:15" x14ac:dyDescent="0.35">
      <c r="A326">
        <v>944</v>
      </c>
      <c r="B326" t="s">
        <v>963</v>
      </c>
      <c r="C326">
        <v>35</v>
      </c>
      <c r="D326" t="str">
        <f t="shared" si="15"/>
        <v>Mid Adults</v>
      </c>
      <c r="E326" t="s">
        <v>35</v>
      </c>
      <c r="F326" t="s">
        <v>27</v>
      </c>
      <c r="G326">
        <v>7251</v>
      </c>
      <c r="H326" t="str">
        <f t="shared" si="16"/>
        <v>6000 - 8000</v>
      </c>
      <c r="I326" s="1">
        <v>44180</v>
      </c>
      <c r="J326">
        <v>3</v>
      </c>
      <c r="K326">
        <v>19</v>
      </c>
      <c r="L326" t="str">
        <f t="shared" si="17"/>
        <v>Manager</v>
      </c>
      <c r="M326" t="s">
        <v>15</v>
      </c>
      <c r="N326" t="s">
        <v>22</v>
      </c>
      <c r="O326" t="s">
        <v>23</v>
      </c>
    </row>
    <row r="327" spans="1:15" x14ac:dyDescent="0.35">
      <c r="A327">
        <v>945</v>
      </c>
      <c r="B327" t="s">
        <v>964</v>
      </c>
      <c r="C327">
        <v>29</v>
      </c>
      <c r="D327" t="str">
        <f t="shared" si="15"/>
        <v>Early Adults</v>
      </c>
      <c r="E327" t="s">
        <v>13</v>
      </c>
      <c r="F327" t="s">
        <v>14</v>
      </c>
      <c r="G327">
        <v>9402</v>
      </c>
      <c r="H327" t="str">
        <f t="shared" si="16"/>
        <v>8000 - 10,000</v>
      </c>
      <c r="I327" s="1">
        <v>43082</v>
      </c>
      <c r="J327">
        <v>0</v>
      </c>
      <c r="K327">
        <v>1</v>
      </c>
      <c r="L327" t="str">
        <f t="shared" si="17"/>
        <v>Junior</v>
      </c>
      <c r="M327" t="s">
        <v>15</v>
      </c>
      <c r="N327" t="s">
        <v>16</v>
      </c>
      <c r="O327" t="s">
        <v>17</v>
      </c>
    </row>
    <row r="328" spans="1:15" x14ac:dyDescent="0.35">
      <c r="A328">
        <v>952</v>
      </c>
      <c r="B328" t="s">
        <v>971</v>
      </c>
      <c r="C328">
        <v>43</v>
      </c>
      <c r="D328" t="str">
        <f t="shared" si="15"/>
        <v>Mid Adults</v>
      </c>
      <c r="E328" t="s">
        <v>13</v>
      </c>
      <c r="F328" t="s">
        <v>27</v>
      </c>
      <c r="G328">
        <v>5833</v>
      </c>
      <c r="H328" t="str">
        <f t="shared" si="16"/>
        <v>4000 - 6000</v>
      </c>
      <c r="I328" s="1">
        <v>44375</v>
      </c>
      <c r="J328">
        <v>4</v>
      </c>
      <c r="K328">
        <v>15</v>
      </c>
      <c r="L328" t="str">
        <f t="shared" si="17"/>
        <v>Manager</v>
      </c>
      <c r="M328" t="s">
        <v>15</v>
      </c>
      <c r="N328" t="s">
        <v>30</v>
      </c>
      <c r="O328" t="s">
        <v>17</v>
      </c>
    </row>
    <row r="329" spans="1:15" x14ac:dyDescent="0.35">
      <c r="A329">
        <v>953</v>
      </c>
      <c r="B329" t="s">
        <v>972</v>
      </c>
      <c r="C329">
        <v>20</v>
      </c>
      <c r="D329" t="str">
        <f t="shared" si="15"/>
        <v>Young Adults</v>
      </c>
      <c r="E329" t="s">
        <v>35</v>
      </c>
      <c r="F329" t="s">
        <v>14</v>
      </c>
      <c r="G329">
        <v>2786</v>
      </c>
      <c r="H329" t="str">
        <f t="shared" si="16"/>
        <v>2000 - 4000</v>
      </c>
      <c r="I329" s="1">
        <v>45579</v>
      </c>
      <c r="J329">
        <v>1</v>
      </c>
      <c r="K329">
        <v>15</v>
      </c>
      <c r="L329" t="str">
        <f t="shared" si="17"/>
        <v>Manager</v>
      </c>
      <c r="M329" t="s">
        <v>15</v>
      </c>
      <c r="N329" t="s">
        <v>22</v>
      </c>
      <c r="O329" t="s">
        <v>25</v>
      </c>
    </row>
    <row r="330" spans="1:15" x14ac:dyDescent="0.35">
      <c r="A330">
        <v>954</v>
      </c>
      <c r="B330" t="s">
        <v>973</v>
      </c>
      <c r="C330">
        <v>53</v>
      </c>
      <c r="D330" t="str">
        <f t="shared" si="15"/>
        <v>Mature Adults</v>
      </c>
      <c r="E330" t="s">
        <v>35</v>
      </c>
      <c r="F330" t="s">
        <v>14</v>
      </c>
      <c r="G330">
        <v>5616</v>
      </c>
      <c r="H330" t="str">
        <f t="shared" si="16"/>
        <v>4000 - 6000</v>
      </c>
      <c r="I330" s="1">
        <v>44773</v>
      </c>
      <c r="J330">
        <v>4</v>
      </c>
      <c r="K330">
        <v>16</v>
      </c>
      <c r="L330" t="str">
        <f t="shared" si="17"/>
        <v>Manager</v>
      </c>
      <c r="M330" t="s">
        <v>15</v>
      </c>
      <c r="N330" t="s">
        <v>22</v>
      </c>
      <c r="O330" t="s">
        <v>17</v>
      </c>
    </row>
    <row r="331" spans="1:15" x14ac:dyDescent="0.35">
      <c r="A331">
        <v>962</v>
      </c>
      <c r="B331" t="s">
        <v>981</v>
      </c>
      <c r="C331">
        <v>21</v>
      </c>
      <c r="D331" t="str">
        <f t="shared" si="15"/>
        <v>Young Adults</v>
      </c>
      <c r="E331" t="s">
        <v>13</v>
      </c>
      <c r="F331" t="s">
        <v>20</v>
      </c>
      <c r="G331">
        <v>3896</v>
      </c>
      <c r="H331" t="str">
        <f t="shared" si="16"/>
        <v>2000 - 4000</v>
      </c>
      <c r="I331" s="1">
        <v>44269</v>
      </c>
      <c r="J331">
        <v>0</v>
      </c>
      <c r="K331">
        <v>7</v>
      </c>
      <c r="L331" t="str">
        <f t="shared" si="17"/>
        <v>Senior Level</v>
      </c>
      <c r="M331" t="s">
        <v>15</v>
      </c>
      <c r="N331" t="s">
        <v>30</v>
      </c>
      <c r="O331" t="s">
        <v>17</v>
      </c>
    </row>
    <row r="332" spans="1:15" x14ac:dyDescent="0.35">
      <c r="A332">
        <v>963</v>
      </c>
      <c r="B332" t="s">
        <v>982</v>
      </c>
      <c r="C332">
        <v>65</v>
      </c>
      <c r="D332" t="str">
        <f t="shared" si="15"/>
        <v>Seniors</v>
      </c>
      <c r="E332" t="s">
        <v>13</v>
      </c>
      <c r="F332" t="s">
        <v>20</v>
      </c>
      <c r="G332">
        <v>6788</v>
      </c>
      <c r="H332" t="str">
        <f t="shared" si="16"/>
        <v>6000 - 8000</v>
      </c>
      <c r="I332" s="1">
        <v>45313</v>
      </c>
      <c r="J332">
        <v>4</v>
      </c>
      <c r="K332">
        <v>6</v>
      </c>
      <c r="L332" t="str">
        <f t="shared" si="17"/>
        <v>Senior Level</v>
      </c>
      <c r="M332" t="s">
        <v>15</v>
      </c>
      <c r="N332" t="s">
        <v>16</v>
      </c>
      <c r="O332" t="s">
        <v>23</v>
      </c>
    </row>
    <row r="333" spans="1:15" x14ac:dyDescent="0.35">
      <c r="A333">
        <v>964</v>
      </c>
      <c r="B333" t="s">
        <v>983</v>
      </c>
      <c r="C333">
        <v>35</v>
      </c>
      <c r="D333" t="str">
        <f t="shared" si="15"/>
        <v>Mid Adults</v>
      </c>
      <c r="E333" t="s">
        <v>35</v>
      </c>
      <c r="F333" t="s">
        <v>14</v>
      </c>
      <c r="G333">
        <v>3433</v>
      </c>
      <c r="H333" t="str">
        <f t="shared" si="16"/>
        <v>2000 - 4000</v>
      </c>
      <c r="I333" s="1">
        <v>44080</v>
      </c>
      <c r="J333">
        <v>4</v>
      </c>
      <c r="K333">
        <v>3</v>
      </c>
      <c r="L333" t="str">
        <f t="shared" si="17"/>
        <v>Mid-Level</v>
      </c>
      <c r="M333" t="s">
        <v>15</v>
      </c>
      <c r="N333" t="s">
        <v>30</v>
      </c>
      <c r="O333" t="s">
        <v>17</v>
      </c>
    </row>
    <row r="334" spans="1:15" x14ac:dyDescent="0.35">
      <c r="A334">
        <v>966</v>
      </c>
      <c r="B334" t="s">
        <v>985</v>
      </c>
      <c r="C334">
        <v>65</v>
      </c>
      <c r="D334" t="str">
        <f t="shared" si="15"/>
        <v>Seniors</v>
      </c>
      <c r="E334" t="s">
        <v>13</v>
      </c>
      <c r="F334" t="s">
        <v>14</v>
      </c>
      <c r="G334">
        <v>2959</v>
      </c>
      <c r="H334" t="str">
        <f t="shared" si="16"/>
        <v>2000 - 4000</v>
      </c>
      <c r="I334" s="1">
        <v>43642</v>
      </c>
      <c r="J334">
        <v>0</v>
      </c>
      <c r="K334">
        <v>2</v>
      </c>
      <c r="L334" t="str">
        <f t="shared" si="17"/>
        <v>Junior</v>
      </c>
      <c r="M334" t="s">
        <v>15</v>
      </c>
      <c r="N334" t="s">
        <v>22</v>
      </c>
      <c r="O334" t="s">
        <v>23</v>
      </c>
    </row>
    <row r="335" spans="1:15" x14ac:dyDescent="0.35">
      <c r="A335">
        <v>967</v>
      </c>
      <c r="B335" t="s">
        <v>986</v>
      </c>
      <c r="C335">
        <v>50</v>
      </c>
      <c r="D335" t="str">
        <f t="shared" si="15"/>
        <v>Mature Adults</v>
      </c>
      <c r="E335" t="s">
        <v>13</v>
      </c>
      <c r="F335" t="s">
        <v>14</v>
      </c>
      <c r="G335">
        <v>2736</v>
      </c>
      <c r="H335" t="str">
        <f t="shared" si="16"/>
        <v>2000 - 4000</v>
      </c>
      <c r="I335" s="1">
        <v>45529</v>
      </c>
      <c r="J335">
        <v>1</v>
      </c>
      <c r="K335">
        <v>13</v>
      </c>
      <c r="L335" t="str">
        <f t="shared" si="17"/>
        <v>Manager</v>
      </c>
      <c r="M335" t="s">
        <v>15</v>
      </c>
      <c r="N335" t="s">
        <v>30</v>
      </c>
      <c r="O335" t="s">
        <v>23</v>
      </c>
    </row>
    <row r="336" spans="1:15" x14ac:dyDescent="0.35">
      <c r="A336">
        <v>976</v>
      </c>
      <c r="B336" t="s">
        <v>995</v>
      </c>
      <c r="C336">
        <v>52</v>
      </c>
      <c r="D336" t="str">
        <f t="shared" si="15"/>
        <v>Mature Adults</v>
      </c>
      <c r="E336" t="s">
        <v>13</v>
      </c>
      <c r="F336" t="s">
        <v>27</v>
      </c>
      <c r="G336">
        <v>2093</v>
      </c>
      <c r="H336" t="str">
        <f t="shared" si="16"/>
        <v>2000 - 4000</v>
      </c>
      <c r="I336" s="1">
        <v>44096</v>
      </c>
      <c r="J336">
        <v>0</v>
      </c>
      <c r="K336">
        <v>14</v>
      </c>
      <c r="L336" t="str">
        <f t="shared" si="17"/>
        <v>Manager</v>
      </c>
      <c r="M336" t="s">
        <v>15</v>
      </c>
      <c r="N336" t="s">
        <v>16</v>
      </c>
      <c r="O336" t="s">
        <v>17</v>
      </c>
    </row>
    <row r="337" spans="1:15" x14ac:dyDescent="0.35">
      <c r="A337">
        <v>977</v>
      </c>
      <c r="B337" t="s">
        <v>996</v>
      </c>
      <c r="C337">
        <v>19</v>
      </c>
      <c r="D337" t="str">
        <f t="shared" si="15"/>
        <v>Young Adults</v>
      </c>
      <c r="E337" t="s">
        <v>35</v>
      </c>
      <c r="F337" t="s">
        <v>20</v>
      </c>
      <c r="G337">
        <v>9331</v>
      </c>
      <c r="H337" t="str">
        <f t="shared" si="16"/>
        <v>8000 - 10,000</v>
      </c>
      <c r="I337" s="1">
        <v>43284</v>
      </c>
      <c r="J337">
        <v>5</v>
      </c>
      <c r="K337">
        <v>12</v>
      </c>
      <c r="L337" t="str">
        <f t="shared" si="17"/>
        <v>Manager</v>
      </c>
      <c r="M337" t="s">
        <v>15</v>
      </c>
      <c r="N337" t="s">
        <v>16</v>
      </c>
      <c r="O337" t="s">
        <v>25</v>
      </c>
    </row>
    <row r="338" spans="1:15" x14ac:dyDescent="0.35">
      <c r="A338">
        <v>980</v>
      </c>
      <c r="B338" t="s">
        <v>997</v>
      </c>
      <c r="C338">
        <v>55</v>
      </c>
      <c r="D338" t="str">
        <f t="shared" si="15"/>
        <v>Seniors</v>
      </c>
      <c r="E338" t="s">
        <v>13</v>
      </c>
      <c r="F338" t="s">
        <v>27</v>
      </c>
      <c r="G338">
        <v>4952</v>
      </c>
      <c r="H338" t="str">
        <f t="shared" si="16"/>
        <v>4000 - 6000</v>
      </c>
      <c r="I338" s="1">
        <v>45173</v>
      </c>
      <c r="J338">
        <v>2</v>
      </c>
      <c r="K338">
        <v>5</v>
      </c>
      <c r="L338" t="str">
        <f t="shared" si="17"/>
        <v>Senior Level</v>
      </c>
      <c r="M338" t="s">
        <v>15</v>
      </c>
      <c r="N338" t="s">
        <v>30</v>
      </c>
      <c r="O338" t="s">
        <v>17</v>
      </c>
    </row>
    <row r="339" spans="1:15" x14ac:dyDescent="0.35">
      <c r="A339">
        <v>982</v>
      </c>
      <c r="B339" t="s">
        <v>999</v>
      </c>
      <c r="C339">
        <v>31</v>
      </c>
      <c r="D339" t="str">
        <f t="shared" si="15"/>
        <v>Early Adults</v>
      </c>
      <c r="E339" t="s">
        <v>13</v>
      </c>
      <c r="F339" t="s">
        <v>20</v>
      </c>
      <c r="G339">
        <v>4921</v>
      </c>
      <c r="H339" t="str">
        <f t="shared" si="16"/>
        <v>4000 - 6000</v>
      </c>
      <c r="I339" s="1">
        <v>42611</v>
      </c>
      <c r="J339">
        <v>0</v>
      </c>
      <c r="K339">
        <v>19</v>
      </c>
      <c r="L339" t="str">
        <f t="shared" si="17"/>
        <v>Manager</v>
      </c>
      <c r="M339" t="s">
        <v>15</v>
      </c>
      <c r="N339" t="s">
        <v>16</v>
      </c>
      <c r="O339" t="s">
        <v>23</v>
      </c>
    </row>
    <row r="340" spans="1:15" x14ac:dyDescent="0.35">
      <c r="A340">
        <v>987</v>
      </c>
      <c r="B340" t="s">
        <v>1004</v>
      </c>
      <c r="C340">
        <v>39</v>
      </c>
      <c r="D340" t="str">
        <f t="shared" si="15"/>
        <v>Mid Adults</v>
      </c>
      <c r="E340" t="s">
        <v>13</v>
      </c>
      <c r="F340" t="s">
        <v>27</v>
      </c>
      <c r="G340">
        <v>9618</v>
      </c>
      <c r="H340" t="str">
        <f t="shared" si="16"/>
        <v>8000 - 10,000</v>
      </c>
      <c r="I340" s="1">
        <v>42190</v>
      </c>
      <c r="J340">
        <v>1</v>
      </c>
      <c r="K340">
        <v>13</v>
      </c>
      <c r="L340" t="str">
        <f t="shared" si="17"/>
        <v>Manager</v>
      </c>
      <c r="M340" t="s">
        <v>15</v>
      </c>
      <c r="N340" t="s">
        <v>16</v>
      </c>
      <c r="O340" t="s">
        <v>25</v>
      </c>
    </row>
    <row r="341" spans="1:15" x14ac:dyDescent="0.35">
      <c r="A341">
        <v>988</v>
      </c>
      <c r="B341" t="s">
        <v>1005</v>
      </c>
      <c r="C341">
        <v>31</v>
      </c>
      <c r="D341" t="str">
        <f t="shared" si="15"/>
        <v>Early Adults</v>
      </c>
      <c r="E341" t="s">
        <v>13</v>
      </c>
      <c r="F341" t="s">
        <v>27</v>
      </c>
      <c r="G341">
        <v>5605</v>
      </c>
      <c r="H341" t="str">
        <f t="shared" si="16"/>
        <v>4000 - 6000</v>
      </c>
      <c r="I341" s="1">
        <v>45471</v>
      </c>
      <c r="J341">
        <v>0</v>
      </c>
      <c r="K341">
        <v>1</v>
      </c>
      <c r="L341" t="str">
        <f t="shared" si="17"/>
        <v>Junior</v>
      </c>
      <c r="M341" t="s">
        <v>15</v>
      </c>
      <c r="N341" t="s">
        <v>30</v>
      </c>
      <c r="O341" t="s">
        <v>25</v>
      </c>
    </row>
    <row r="342" spans="1:15" x14ac:dyDescent="0.35">
      <c r="A342">
        <v>989</v>
      </c>
      <c r="B342" t="s">
        <v>1006</v>
      </c>
      <c r="C342">
        <v>36</v>
      </c>
      <c r="D342" t="str">
        <f t="shared" si="15"/>
        <v>Mid Adults</v>
      </c>
      <c r="E342" t="s">
        <v>13</v>
      </c>
      <c r="F342" t="s">
        <v>27</v>
      </c>
      <c r="G342">
        <v>9118</v>
      </c>
      <c r="H342" t="str">
        <f t="shared" si="16"/>
        <v>8000 - 10,000</v>
      </c>
      <c r="I342" s="1">
        <v>44744</v>
      </c>
      <c r="J342">
        <v>5</v>
      </c>
      <c r="K342">
        <v>5</v>
      </c>
      <c r="L342" t="str">
        <f t="shared" si="17"/>
        <v>Senior Level</v>
      </c>
      <c r="M342" t="s">
        <v>15</v>
      </c>
      <c r="N342" t="s">
        <v>16</v>
      </c>
      <c r="O342" t="s">
        <v>17</v>
      </c>
    </row>
    <row r="343" spans="1:15" x14ac:dyDescent="0.35">
      <c r="A343">
        <v>991</v>
      </c>
      <c r="B343" t="s">
        <v>1008</v>
      </c>
      <c r="C343">
        <v>53</v>
      </c>
      <c r="D343" t="str">
        <f t="shared" si="15"/>
        <v>Mature Adults</v>
      </c>
      <c r="E343" t="s">
        <v>13</v>
      </c>
      <c r="F343" t="s">
        <v>14</v>
      </c>
      <c r="G343">
        <v>3991</v>
      </c>
      <c r="H343" t="str">
        <f t="shared" si="16"/>
        <v>2000 - 4000</v>
      </c>
      <c r="I343" s="1">
        <v>45538</v>
      </c>
      <c r="J343">
        <v>4</v>
      </c>
      <c r="K343">
        <v>8</v>
      </c>
      <c r="L343" t="str">
        <f t="shared" si="17"/>
        <v>Consultant</v>
      </c>
      <c r="M343" t="s">
        <v>15</v>
      </c>
      <c r="N343" t="s">
        <v>30</v>
      </c>
      <c r="O343" t="s">
        <v>25</v>
      </c>
    </row>
    <row r="344" spans="1:15" x14ac:dyDescent="0.35">
      <c r="A344">
        <v>996</v>
      </c>
      <c r="B344" t="s">
        <v>1013</v>
      </c>
      <c r="C344">
        <v>49</v>
      </c>
      <c r="D344" t="str">
        <f t="shared" si="15"/>
        <v>Mature Adults</v>
      </c>
      <c r="E344" t="s">
        <v>13</v>
      </c>
      <c r="F344" t="s">
        <v>20</v>
      </c>
      <c r="G344">
        <v>7652</v>
      </c>
      <c r="H344" t="str">
        <f t="shared" si="16"/>
        <v>6000 - 8000</v>
      </c>
      <c r="I344" s="1">
        <v>45466</v>
      </c>
      <c r="J344">
        <v>4</v>
      </c>
      <c r="K344">
        <v>3</v>
      </c>
      <c r="L344" t="str">
        <f t="shared" si="17"/>
        <v>Mid-Level</v>
      </c>
      <c r="M344" t="s">
        <v>15</v>
      </c>
      <c r="N344" t="s">
        <v>22</v>
      </c>
      <c r="O344" t="s">
        <v>23</v>
      </c>
    </row>
    <row r="345" spans="1:15" x14ac:dyDescent="0.35">
      <c r="A345">
        <v>998</v>
      </c>
      <c r="B345" t="s">
        <v>1015</v>
      </c>
      <c r="C345">
        <v>18</v>
      </c>
      <c r="D345" t="str">
        <f t="shared" si="15"/>
        <v>Young Adults</v>
      </c>
      <c r="E345" t="s">
        <v>35</v>
      </c>
      <c r="F345" t="s">
        <v>20</v>
      </c>
      <c r="G345">
        <v>5278</v>
      </c>
      <c r="H345" t="str">
        <f t="shared" si="16"/>
        <v>4000 - 6000</v>
      </c>
      <c r="I345" s="1">
        <v>45112</v>
      </c>
      <c r="J345">
        <v>5</v>
      </c>
      <c r="K345">
        <v>3</v>
      </c>
      <c r="L345" t="str">
        <f t="shared" si="17"/>
        <v>Mid-Level</v>
      </c>
      <c r="M345" t="s">
        <v>15</v>
      </c>
      <c r="N345" t="s">
        <v>16</v>
      </c>
      <c r="O345" t="s">
        <v>25</v>
      </c>
    </row>
    <row r="346" spans="1:15" x14ac:dyDescent="0.35">
      <c r="A346">
        <v>1000</v>
      </c>
      <c r="B346" t="s">
        <v>1017</v>
      </c>
      <c r="C346">
        <v>45</v>
      </c>
      <c r="D346" t="str">
        <f t="shared" si="15"/>
        <v>Mature Adults</v>
      </c>
      <c r="E346" t="s">
        <v>35</v>
      </c>
      <c r="F346" t="s">
        <v>27</v>
      </c>
      <c r="G346">
        <v>7364</v>
      </c>
      <c r="H346" t="str">
        <f t="shared" si="16"/>
        <v>6000 - 8000</v>
      </c>
      <c r="I346" s="1">
        <v>44773</v>
      </c>
      <c r="J346">
        <v>2</v>
      </c>
      <c r="K346">
        <v>4</v>
      </c>
      <c r="L346" t="str">
        <f t="shared" si="17"/>
        <v>Mid-Level</v>
      </c>
      <c r="M346" t="s">
        <v>15</v>
      </c>
      <c r="N346" t="s">
        <v>16</v>
      </c>
      <c r="O346" t="s">
        <v>25</v>
      </c>
    </row>
  </sheetData>
  <autoFilter ref="A1:O346" xr:uid="{F29D323E-485D-441D-B776-BA07A4C692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061F-22A0-42BE-9D83-5DCC65F3AE66}">
  <sheetPr codeName="Sheet3"/>
  <dimension ref="B3:G61"/>
  <sheetViews>
    <sheetView topLeftCell="A49" zoomScale="71" workbookViewId="0">
      <selection activeCell="S69" sqref="S69"/>
    </sheetView>
  </sheetViews>
  <sheetFormatPr defaultRowHeight="14.5" x14ac:dyDescent="0.35"/>
  <cols>
    <col min="2" max="2" width="19.81640625" bestFit="1" customWidth="1"/>
    <col min="3" max="3" width="16.7265625" bestFit="1" customWidth="1"/>
    <col min="4" max="4" width="3.90625" bestFit="1" customWidth="1"/>
    <col min="5" max="5" width="5.1796875" bestFit="1" customWidth="1"/>
    <col min="6" max="7" width="11.26953125" bestFit="1" customWidth="1"/>
  </cols>
  <sheetData>
    <row r="3" spans="2:7" x14ac:dyDescent="0.35">
      <c r="B3" s="2" t="s">
        <v>1033</v>
      </c>
      <c r="C3" s="2" t="s">
        <v>1028</v>
      </c>
    </row>
    <row r="4" spans="2:7" x14ac:dyDescent="0.35">
      <c r="B4" s="2" t="s">
        <v>1021</v>
      </c>
      <c r="C4" t="s">
        <v>1029</v>
      </c>
      <c r="D4" t="s">
        <v>1030</v>
      </c>
      <c r="E4" t="s">
        <v>1031</v>
      </c>
      <c r="F4" t="s">
        <v>1032</v>
      </c>
      <c r="G4" t="s">
        <v>1027</v>
      </c>
    </row>
    <row r="5" spans="2:7" x14ac:dyDescent="0.35">
      <c r="B5" s="3" t="s">
        <v>1022</v>
      </c>
      <c r="C5" s="4">
        <v>20</v>
      </c>
      <c r="D5" s="4">
        <v>16</v>
      </c>
      <c r="E5" s="4">
        <v>18</v>
      </c>
      <c r="F5" s="4">
        <v>13</v>
      </c>
      <c r="G5" s="4">
        <v>67</v>
      </c>
    </row>
    <row r="6" spans="2:7" x14ac:dyDescent="0.35">
      <c r="B6" s="3" t="s">
        <v>1023</v>
      </c>
      <c r="C6" s="4">
        <v>9</v>
      </c>
      <c r="D6" s="4">
        <v>6</v>
      </c>
      <c r="E6" s="4">
        <v>22</v>
      </c>
      <c r="F6" s="4">
        <v>9</v>
      </c>
      <c r="G6" s="4">
        <v>46</v>
      </c>
    </row>
    <row r="7" spans="2:7" x14ac:dyDescent="0.35">
      <c r="B7" s="3" t="s">
        <v>1024</v>
      </c>
      <c r="C7" s="4">
        <v>30</v>
      </c>
      <c r="D7" s="4">
        <v>32</v>
      </c>
      <c r="E7" s="4">
        <v>37</v>
      </c>
      <c r="F7" s="4">
        <v>36</v>
      </c>
      <c r="G7" s="4">
        <v>135</v>
      </c>
    </row>
    <row r="8" spans="2:7" x14ac:dyDescent="0.35">
      <c r="B8" s="3" t="s">
        <v>1025</v>
      </c>
      <c r="C8" s="4">
        <v>13</v>
      </c>
      <c r="D8" s="4">
        <v>9</v>
      </c>
      <c r="E8" s="4">
        <v>10</v>
      </c>
      <c r="F8" s="4">
        <v>8</v>
      </c>
      <c r="G8" s="4">
        <v>40</v>
      </c>
    </row>
    <row r="9" spans="2:7" x14ac:dyDescent="0.35">
      <c r="B9" s="3" t="s">
        <v>1026</v>
      </c>
      <c r="C9" s="4">
        <v>19</v>
      </c>
      <c r="D9" s="4">
        <v>16</v>
      </c>
      <c r="E9" s="4">
        <v>13</v>
      </c>
      <c r="F9" s="4">
        <v>9</v>
      </c>
      <c r="G9" s="4">
        <v>57</v>
      </c>
    </row>
    <row r="10" spans="2:7" x14ac:dyDescent="0.35">
      <c r="B10" s="3" t="s">
        <v>1027</v>
      </c>
      <c r="C10" s="4">
        <v>91</v>
      </c>
      <c r="D10" s="4">
        <v>79</v>
      </c>
      <c r="E10" s="4">
        <v>100</v>
      </c>
      <c r="F10" s="4">
        <v>75</v>
      </c>
      <c r="G10" s="4">
        <v>345</v>
      </c>
    </row>
    <row r="32" spans="2:3" x14ac:dyDescent="0.35">
      <c r="B32" s="2" t="s">
        <v>1034</v>
      </c>
      <c r="C32" s="2" t="s">
        <v>1028</v>
      </c>
    </row>
    <row r="33" spans="2:6" x14ac:dyDescent="0.35">
      <c r="B33" s="2" t="s">
        <v>1021</v>
      </c>
      <c r="C33" t="s">
        <v>14</v>
      </c>
      <c r="D33" t="s">
        <v>27</v>
      </c>
      <c r="E33" t="s">
        <v>20</v>
      </c>
      <c r="F33" t="s">
        <v>1027</v>
      </c>
    </row>
    <row r="34" spans="2:6" x14ac:dyDescent="0.35">
      <c r="B34" s="3" t="s">
        <v>1022</v>
      </c>
      <c r="C34" s="4">
        <v>21</v>
      </c>
      <c r="D34" s="4">
        <v>21</v>
      </c>
      <c r="E34" s="4">
        <v>25</v>
      </c>
      <c r="F34" s="4">
        <v>67</v>
      </c>
    </row>
    <row r="35" spans="2:6" x14ac:dyDescent="0.35">
      <c r="B35" s="3" t="s">
        <v>1023</v>
      </c>
      <c r="C35" s="4">
        <v>15</v>
      </c>
      <c r="D35" s="4">
        <v>16</v>
      </c>
      <c r="E35" s="4">
        <v>15</v>
      </c>
      <c r="F35" s="4">
        <v>46</v>
      </c>
    </row>
    <row r="36" spans="2:6" x14ac:dyDescent="0.35">
      <c r="B36" s="3" t="s">
        <v>1024</v>
      </c>
      <c r="C36" s="4">
        <v>54</v>
      </c>
      <c r="D36" s="4">
        <v>37</v>
      </c>
      <c r="E36" s="4">
        <v>44</v>
      </c>
      <c r="F36" s="4">
        <v>135</v>
      </c>
    </row>
    <row r="37" spans="2:6" x14ac:dyDescent="0.35">
      <c r="B37" s="3" t="s">
        <v>1025</v>
      </c>
      <c r="C37" s="4">
        <v>10</v>
      </c>
      <c r="D37" s="4">
        <v>17</v>
      </c>
      <c r="E37" s="4">
        <v>13</v>
      </c>
      <c r="F37" s="4">
        <v>40</v>
      </c>
    </row>
    <row r="38" spans="2:6" x14ac:dyDescent="0.35">
      <c r="B38" s="3" t="s">
        <v>1026</v>
      </c>
      <c r="C38" s="4">
        <v>18</v>
      </c>
      <c r="D38" s="4">
        <v>15</v>
      </c>
      <c r="E38" s="4">
        <v>24</v>
      </c>
      <c r="F38" s="4">
        <v>57</v>
      </c>
    </row>
    <row r="39" spans="2:6" x14ac:dyDescent="0.35">
      <c r="B39" s="3" t="s">
        <v>1027</v>
      </c>
      <c r="C39" s="4">
        <v>118</v>
      </c>
      <c r="D39" s="4">
        <v>106</v>
      </c>
      <c r="E39" s="4">
        <v>121</v>
      </c>
      <c r="F39" s="4">
        <v>345</v>
      </c>
    </row>
    <row r="54" spans="2:6" x14ac:dyDescent="0.35">
      <c r="B54" s="2" t="s">
        <v>1034</v>
      </c>
      <c r="C54" s="2" t="s">
        <v>1028</v>
      </c>
    </row>
    <row r="55" spans="2:6" x14ac:dyDescent="0.35">
      <c r="B55" s="2" t="s">
        <v>1021</v>
      </c>
      <c r="C55" t="s">
        <v>14</v>
      </c>
      <c r="D55" t="s">
        <v>27</v>
      </c>
      <c r="E55" t="s">
        <v>20</v>
      </c>
      <c r="F55" t="s">
        <v>1027</v>
      </c>
    </row>
    <row r="56" spans="2:6" x14ac:dyDescent="0.35">
      <c r="B56" s="3" t="s">
        <v>1035</v>
      </c>
      <c r="C56" s="4">
        <v>30</v>
      </c>
      <c r="D56" s="4">
        <v>25</v>
      </c>
      <c r="E56" s="4">
        <v>24</v>
      </c>
      <c r="F56" s="4">
        <v>79</v>
      </c>
    </row>
    <row r="57" spans="2:6" x14ac:dyDescent="0.35">
      <c r="B57" s="3" t="s">
        <v>1036</v>
      </c>
      <c r="C57" s="4">
        <v>26</v>
      </c>
      <c r="D57" s="4">
        <v>20</v>
      </c>
      <c r="E57" s="4">
        <v>25</v>
      </c>
      <c r="F57" s="4">
        <v>71</v>
      </c>
    </row>
    <row r="58" spans="2:6" x14ac:dyDescent="0.35">
      <c r="B58" s="3" t="s">
        <v>1037</v>
      </c>
      <c r="C58" s="4">
        <v>19</v>
      </c>
      <c r="D58" s="4">
        <v>26</v>
      </c>
      <c r="E58" s="4">
        <v>24</v>
      </c>
      <c r="F58" s="4">
        <v>69</v>
      </c>
    </row>
    <row r="59" spans="2:6" x14ac:dyDescent="0.35">
      <c r="B59" s="3" t="s">
        <v>1038</v>
      </c>
      <c r="C59" s="4">
        <v>19</v>
      </c>
      <c r="D59" s="4">
        <v>22</v>
      </c>
      <c r="E59" s="4">
        <v>30</v>
      </c>
      <c r="F59" s="4">
        <v>71</v>
      </c>
    </row>
    <row r="60" spans="2:6" x14ac:dyDescent="0.35">
      <c r="B60" s="3" t="s">
        <v>1039</v>
      </c>
      <c r="C60" s="4">
        <v>24</v>
      </c>
      <c r="D60" s="4">
        <v>13</v>
      </c>
      <c r="E60" s="4">
        <v>18</v>
      </c>
      <c r="F60" s="4">
        <v>55</v>
      </c>
    </row>
    <row r="61" spans="2:6" x14ac:dyDescent="0.35">
      <c r="B61" s="3" t="s">
        <v>1027</v>
      </c>
      <c r="C61" s="4">
        <v>118</v>
      </c>
      <c r="D61" s="4">
        <v>106</v>
      </c>
      <c r="E61" s="4">
        <v>121</v>
      </c>
      <c r="F61" s="4">
        <v>345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836F-518E-4662-B8D5-777937905D45}">
  <sheetPr codeName="Sheet4"/>
  <dimension ref="A1:N7"/>
  <sheetViews>
    <sheetView showGridLines="0" tabSelected="1" topLeftCell="A5" zoomScale="57" workbookViewId="0">
      <selection activeCell="S50" sqref="S50"/>
    </sheetView>
  </sheetViews>
  <sheetFormatPr defaultRowHeight="14.5" x14ac:dyDescent="0.35"/>
  <cols>
    <col min="12" max="12" width="8.7265625" style="7"/>
    <col min="14" max="14" width="13.54296875" customWidth="1"/>
  </cols>
  <sheetData>
    <row r="1" spans="1:14" x14ac:dyDescent="0.35">
      <c r="A1" s="6"/>
      <c r="B1" s="6"/>
      <c r="C1" s="6"/>
      <c r="D1" s="6"/>
      <c r="E1" s="6"/>
      <c r="F1" s="6"/>
      <c r="G1" s="6"/>
      <c r="H1" s="6"/>
      <c r="I1" s="6"/>
      <c r="J1" s="6"/>
      <c r="K1" s="6"/>
      <c r="L1" s="6"/>
      <c r="M1" s="5"/>
      <c r="N1" s="5"/>
    </row>
    <row r="2" spans="1:14" x14ac:dyDescent="0.35">
      <c r="A2" s="6"/>
      <c r="B2" s="6"/>
      <c r="C2" s="6"/>
      <c r="D2" s="6"/>
      <c r="E2" s="6"/>
      <c r="F2" s="6"/>
      <c r="G2" s="6"/>
      <c r="H2" s="6"/>
      <c r="I2" s="6"/>
      <c r="J2" s="6"/>
      <c r="K2" s="6"/>
      <c r="L2" s="6"/>
      <c r="M2" s="5"/>
      <c r="N2" s="5"/>
    </row>
    <row r="3" spans="1:14" ht="33.5" x14ac:dyDescent="0.95">
      <c r="A3" s="6"/>
      <c r="B3" s="8" t="s">
        <v>1040</v>
      </c>
      <c r="C3" s="8"/>
      <c r="D3" s="8"/>
      <c r="E3" s="8"/>
      <c r="F3" s="8"/>
      <c r="G3" s="9"/>
      <c r="H3" s="9"/>
      <c r="I3" s="9"/>
      <c r="J3" s="9"/>
      <c r="K3" s="6"/>
      <c r="L3" s="6"/>
      <c r="M3" s="5"/>
      <c r="N3" s="5"/>
    </row>
    <row r="4" spans="1:14" x14ac:dyDescent="0.35">
      <c r="A4" s="6"/>
      <c r="B4" s="6"/>
      <c r="C4" s="6"/>
      <c r="D4" s="6"/>
      <c r="E4" s="6"/>
      <c r="F4" s="6"/>
      <c r="G4" s="6"/>
      <c r="H4" s="6"/>
      <c r="I4" s="6"/>
      <c r="J4" s="6"/>
      <c r="K4" s="6"/>
      <c r="L4" s="6"/>
      <c r="M4" s="5"/>
      <c r="N4" s="5"/>
    </row>
    <row r="5" spans="1:14" x14ac:dyDescent="0.35">
      <c r="A5" s="6"/>
      <c r="B5" s="6"/>
      <c r="C5" s="6"/>
      <c r="D5" s="6"/>
      <c r="E5" s="6"/>
      <c r="F5" s="6"/>
      <c r="G5" s="6"/>
      <c r="H5" s="6"/>
      <c r="I5" s="6"/>
      <c r="J5" s="6"/>
      <c r="K5" s="6"/>
      <c r="L5" s="6"/>
      <c r="M5" s="5"/>
      <c r="N5" s="5"/>
    </row>
    <row r="6" spans="1:14" x14ac:dyDescent="0.35">
      <c r="A6" s="6"/>
      <c r="B6" s="6"/>
      <c r="C6" s="6"/>
      <c r="D6" s="6"/>
      <c r="E6" s="6"/>
      <c r="F6" s="6"/>
      <c r="G6" s="6"/>
      <c r="H6" s="6"/>
      <c r="I6" s="6"/>
      <c r="J6" s="6"/>
      <c r="K6" s="6"/>
      <c r="L6" s="6"/>
      <c r="M6" s="5"/>
      <c r="N6" s="5"/>
    </row>
    <row r="7" spans="1:14" x14ac:dyDescent="0.35">
      <c r="A7" s="6"/>
      <c r="B7" s="6"/>
      <c r="C7" s="6"/>
      <c r="D7" s="6"/>
      <c r="E7" s="6"/>
      <c r="F7" s="6"/>
      <c r="G7" s="6"/>
      <c r="H7" s="6"/>
      <c r="I7" s="6"/>
      <c r="J7" s="6"/>
      <c r="K7" s="6"/>
      <c r="L7" s="6"/>
      <c r="M7" s="5"/>
      <c r="N7"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Employe_Performance_dataset</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VITHANAGE P S S</cp:lastModifiedBy>
  <dcterms:created xsi:type="dcterms:W3CDTF">2025-11-11T16:55:03Z</dcterms:created>
  <dcterms:modified xsi:type="dcterms:W3CDTF">2025-11-12T14:45:12Z</dcterms:modified>
</cp:coreProperties>
</file>